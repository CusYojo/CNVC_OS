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438845a4084c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需求追踪" sheetId="1" r:id="R63d6e507955d43b6"/>
    <x:sheet xmlns:r="http://schemas.openxmlformats.org/officeDocument/2006/relationships" name="模块映射" sheetId="2" r:id="Rd30807dec945495b"/>
    <x:sheet xmlns:r="http://schemas.openxmlformats.org/officeDocument/2006/relationships" name="待确认问题" sheetId="3" r:id="Rf2653cc0e03f4bbb"/>
    <x:sheet xmlns:r="http://schemas.openxmlformats.org/officeDocument/2006/relationships" name="口径说明" sheetId="4" r:id="R8531370d3e914b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FFFFFF"/>
      <x:name val="Carlito"/>
    </x:font>
    <x:font>
      <x:b/>
      <x:sz val="10"/>
      <x:color rgb="FF24364B"/>
      <x:name val="Carlito"/>
    </x:font>
    <x:font>
      <x:i/>
      <x:sz val="9"/>
      <x:color rgb="FF53677D"/>
      <x:name val="Carlito"/>
    </x:font>
    <x:font>
      <x:b/>
      <x:sz val="10"/>
      <x:color rgb="FFFFFFFF"/>
      <x:name val="Carlito"/>
    </x:font>
    <x:font>
      <x:sz val="9"/>
      <x:color rgb="FF24364B"/>
      <x:name val="Carlito"/>
    </x:font>
    <x:font>
      <x:b/>
      <x:sz val="9"/>
      <x:color rgb="FF17365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EF5FB"/>
      </x:patternFill>
    </x:fill>
    <x:fill>
      <x:patternFill patternType="solid">
        <x:fgColor rgb="FF2F75B5"/>
      </x:patternFill>
    </x:fill>
  </x:fills>
  <x:borders count="8">
    <x:border/>
    <x:border>
      <x:left style="thin">
        <x:color rgb="FFD8E1EA"/>
      </x:left>
      <x:top style="thin">
        <x:color rgb="FFD8E1EA"/>
      </x:top>
      <x:bottom style="thin">
        <x:color rgb="FFD8E1EA"/>
      </x:bottom>
    </x:border>
    <x:border>
      <x:top style="thin">
        <x:color rgb="FFD8E1EA"/>
      </x:top>
      <x:bottom style="thin">
        <x:color rgb="FFD8E1EA"/>
      </x:bottom>
    </x:border>
    <x:border>
      <x:right style="thin">
        <x:color rgb="FFD8E1EA"/>
      </x:right>
      <x:top style="thin">
        <x:color rgb="FFD8E1EA"/>
      </x:top>
      <x:bottom style="thin">
        <x:color rgb="FFD8E1EA"/>
      </x:bottom>
    </x:border>
    <x:border>
      <x:left style="thin">
        <x:color rgb="FFD8E1EA"/>
      </x:left>
      <x:right style="thin">
        <x:color rgb="FFD8E1EA"/>
      </x:right>
      <x:top style="thin">
        <x:color rgb="FFD8E1EA"/>
      </x:top>
      <x:bottom style="thin">
        <x:color rgb="FFD8E1EA"/>
      </x:bottom>
    </x:border>
    <x:border>
      <x:right style="thin">
        <x:color rgb="FFD8E1EA"/>
      </x:right>
      <x:bottom style="thin">
        <x:color rgb="FFD8E1EA"/>
      </x:bottom>
    </x:border>
    <x:border>
      <x:left style="thin">
        <x:color rgb="FFD8E1EA"/>
      </x:left>
      <x:right style="thin">
        <x:color rgb="FFD8E1EA"/>
      </x:right>
      <x:bottom style="thin">
        <x:color rgb="FFD8E1EA"/>
      </x:bottom>
    </x:border>
    <x:border>
      <x:left style="thin">
        <x:color rgb="FFD8E1EA"/>
      </x:left>
      <x:bottom style="thin">
        <x:color rgb="FFD8E1EA"/>
      </x:bottom>
    </x:border>
  </x:borders>
  <x:cellStyleXfs count="1">
    <x:xf numFmtId="0" fontId="0" fillId="0" borderId="0"/>
  </x:cellStyleXfs>
  <x:cellXfs count="5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2" fillId="3" borderId="3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4" xfId="0" applyNumberFormat="1" applyFont="1" applyFill="1" applyBorder="1"/>
    <x:xf numFmtId="0" fontId="4" fillId="5" borderId="4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horizontal="center" wrapText="1"/>
    </x:xf>
    <x:xf numFmtId="0" fontId="4" fillId="5" borderId="4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5" xfId="0" applyNumberFormat="1" applyFont="1" applyFill="1" applyBorder="1"/>
    <x:xf numFmtId="0" fontId="5" fillId="0" borderId="6" xfId="0" applyNumberFormat="1" applyFont="1" applyFill="1" applyBorder="1"/>
    <x:xf numFmtId="0" fontId="5" fillId="0" borderId="7" xfId="0" applyNumberFormat="1" applyFont="1" applyFill="1" applyBorder="1"/>
    <x:xf numFmtId="0" fontId="5" fillId="0" borderId="3" xfId="0" applyNumberFormat="1" applyFont="1" applyFill="1" applyBorder="1"/>
    <x:xf numFmtId="0" fontId="5" fillId="0" borderId="4" xfId="0" applyNumberFormat="1" applyFont="1" applyFill="1" applyBorder="1"/>
    <x:xf numFmtId="0" fontId="5" fillId="0" borderId="1" xfId="0" applyNumberFormat="1" applyFont="1" applyFill="1" applyBorder="1"/>
    <x:xf numFmtId="0" fontId="5" fillId="0" borderId="5" xfId="0" applyNumberFormat="1" applyFont="1" applyFill="1" applyBorder="1" applyAlignment="1">
      <x:alignment wrapText="1"/>
    </x:xf>
    <x:xf numFmtId="0" fontId="5" fillId="0" borderId="6" xfId="0" applyNumberFormat="1" applyFont="1" applyFill="1" applyBorder="1" applyAlignment="1">
      <x:alignment wrapText="1"/>
    </x:xf>
    <x:xf numFmtId="0" fontId="5" fillId="0" borderId="7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wrapText="1"/>
    </x:xf>
    <x:xf numFmtId="0" fontId="5" fillId="0" borderId="4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  <x:xf numFmtId="0" fontId="5" fillId="0" borderId="5" xfId="0" applyNumberFormat="1" applyFont="1" applyFill="1" applyBorder="1" applyAlignment="1">
      <x:alignment vertical="top" wrapText="1"/>
    </x:xf>
    <x:xf numFmtId="0" fontId="5" fillId="0" borderId="6" xfId="0" applyNumberFormat="1" applyFont="1" applyFill="1" applyBorder="1" applyAlignment="1">
      <x:alignment vertical="top" wrapText="1"/>
    </x:xf>
    <x:xf numFmtId="0" fontId="5" fillId="0" borderId="7" xfId="0" applyNumberFormat="1" applyFont="1" applyFill="1" applyBorder="1" applyAlignment="1">
      <x:alignment vertical="top" wrapText="1"/>
    </x:xf>
    <x:xf numFmtId="0" fontId="5" fillId="0" borderId="3" xfId="0" applyNumberFormat="1" applyFont="1" applyFill="1" applyBorder="1" applyAlignment="1">
      <x:alignment vertical="top" wrapText="1"/>
    </x:xf>
    <x:xf numFmtId="0" fontId="5" fillId="0" borderId="4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vertical="top" wrapText="1"/>
    </x:xf>
    <x:xf numFmtId="0" fontId="6" fillId="0" borderId="5" xfId="0" applyNumberFormat="1" applyFont="1" applyFill="1" applyBorder="1" applyAlignment="1">
      <x:alignment vertical="top" wrapText="1"/>
    </x:xf>
    <x:xf numFmtId="0" fontId="6" fillId="0" borderId="6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 wrapText="1"/>
    </x:xf>
    <x:xf numFmtId="0" fontId="6" fillId="0" borderId="4" xfId="0" applyNumberFormat="1" applyFont="1" applyFill="1" applyBorder="1" applyAlignment="1">
      <x:alignment vertical="top" wrapText="1"/>
    </x:xf>
    <x:xf numFmtId="0" fontId="5" fillId="0" borderId="6" xfId="0" applyNumberFormat="1" applyFont="1" applyFill="1" applyBorder="1" applyAlignment="1">
      <x:alignment horizontal="center" vertical="top" wrapText="1"/>
    </x:xf>
    <x:xf numFmtId="0" fontId="5" fillId="0" borderId="4" xfId="0" applyNumberFormat="1" applyFont="1" applyFill="1" applyBorder="1" applyAlignment="1">
      <x:alignment horizontal="center" vertical="top" wrapText="1"/>
    </x:xf>
    <x:xf numFmtId="0" fontId="5" fillId="0" borderId="6" xfId="0" applyNumberFormat="1" applyFont="1" applyFill="1" applyBorder="1" applyAlignment="1">
      <x:alignment horizontal="center" vertical="center" wrapText="1"/>
    </x:xf>
    <x:xf numFmtId="0" fontId="5" fillId="0" borderId="4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vertical="center"/>
    </x:xf>
    <x:xf numFmtId="0" fontId="2" fillId="3" borderId="2" xfId="0" applyNumberFormat="1" applyFont="1" applyFill="1" applyBorder="1" applyAlignment="1">
      <x:alignment vertical="center"/>
    </x:xf>
    <x:xf numFmtId="0" fontId="2" fillId="3" borderId="3" xfId="0" applyNumberFormat="1" applyFont="1" applyFill="1" applyBorder="1" applyAlignment="1">
      <x:alignment vertical="center"/>
    </x:xf>
    <x:xf numFmtId="0" fontId="5" fillId="0" borderId="7" xfId="0" applyNumberFormat="1" applyFont="1" applyFill="1" applyBorder="1" applyAlignment="1">
      <x:alignment horizontal="center" vertical="top" wrapText="1"/>
    </x:xf>
    <x:xf numFmtId="0" fontId="5" fillId="0" borderId="1" xfId="0" applyNumberFormat="1" applyFont="1" applyFill="1" applyBorder="1" applyAlignment="1">
      <x:alignment horizontal="center" vertical="top" wrapText="1"/>
    </x:xf>
    <x:xf numFmtId="0" fontId="5" fillId="0" borderId="7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6"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c36212ab3a4469" /><Relationship Type="http://schemas.openxmlformats.org/officeDocument/2006/relationships/theme" Target="/xl/theme/theme1.xml" Id="Rd46c47ba82814e91" /><Relationship Type="http://schemas.openxmlformats.org/officeDocument/2006/relationships/sharedStrings" Target="/xl/sharedStrings.xml" Id="R0904e11f71224af9" /><Relationship Type="http://schemas.openxmlformats.org/officeDocument/2006/relationships/worksheet" Target="/xl/worksheets/sheet1.xml" Id="R63d6e507955d43b6" /><Relationship Type="http://schemas.openxmlformats.org/officeDocument/2006/relationships/worksheet" Target="/xl/worksheets/sheet2.xml" Id="Rd30807dec945495b" /><Relationship Type="http://schemas.openxmlformats.org/officeDocument/2006/relationships/worksheet" Target="/xl/worksheets/sheet3.xml" Id="Rf2653cc0e03f4bbb" /><Relationship Type="http://schemas.openxmlformats.org/officeDocument/2006/relationships/worksheet" Target="/xl/worksheets/sheet4.xml" Id="R8531370d3e914b20" /></Relationships>
</file>

<file path=xl/tables/table1.xml><?xml version="1.0" encoding="utf-8"?>
<x:table xmlns:x="http://schemas.openxmlformats.org/spreadsheetml/2006/main" id="1" name="RequirementTrackingTable" displayName="RequirementTrackingTable" ref="A5:Q26" headerRowCount="1" totalsRowCount="0" totalsRowShown="0">
  <x:tableColumns count="17">
    <x:tableColumn id="1" name="需求编号"/>
    <x:tableColumn id="2" name="模块"/>
    <x:tableColumn id="3" name="原始描述"/>
    <x:tableColumn id="4" name="整理后的需求"/>
    <x:tableColumn id="5" name="当前功能"/>
    <x:tableColumn id="6" name="修改目标"/>
    <x:tableColumn id="7" name="涉及页面"/>
    <x:tableColumn id="8" name="涉及接口"/>
    <x:tableColumn id="9" name="涉及数据库"/>
    <x:tableColumn id="10" name="涉及代码目录"/>
    <x:tableColumn id="11" name="是否可以直接开发"/>
    <x:tableColumn id="12" name="是否需要产品确认"/>
    <x:tableColumn id="13" name="需要确认的问题"/>
    <x:tableColumn id="14" name="风险等级"/>
    <x:tableColumn id="15" name="工作量预估"/>
    <x:tableColumn id="16" name="状态"/>
    <x:tableColumn id="17" name="依赖关系/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oduleMappingTable" displayName="ModuleMappingTable" ref="A4:H25" headerRowCount="1" totalsRowCount="0" totalsRowShown="0">
  <x:tableColumns count="8">
    <x:tableColumn id="1" name="需求编号"/>
    <x:tableColumn id="2" name="需求名称"/>
    <x:tableColumn id="3" name="对应模块"/>
    <x:tableColumn id="4" name="主要页面"/>
    <x:tableColumn id="5" name="主要接口/外部服务"/>
    <x:tableColumn id="6" name="数据库/存储"/>
    <x:tableColumn id="7" name="核心代码位置"/>
    <x:tableColumn id="8" name="当前结论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endingQuestionsTable" displayName="PendingQuestionsTable" ref="A4:H55" headerRowCount="1" totalsRowCount="0" totalsRowShown="0">
  <x:tableColumns count="8">
    <x:tableColumn id="1" name="问题编号"/>
    <x:tableColumn id="2" name="关联需求"/>
    <x:tableColumn id="3" name="模块"/>
    <x:tableColumn id="4" name="待确认问题"/>
    <x:tableColumn id="5" name="为什么必须确认"/>
    <x:tableColumn id="6" name="建议确认人"/>
    <x:tableColumn id="7" name="是否阻塞开发"/>
    <x:tableColumn id="8" name="状态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efinitionsTable" displayName="DefinitionsTable" ref="A3:D20" headerRowCount="1" totalsRowCount="0" totalsRowShown="0">
  <x:tableColumns count="4">
    <x:tableColumn id="1" name="分类"/>
    <x:tableColumn id="2" name="条目"/>
    <x:tableColumn id="3" name="定义/结论"/>
    <x:tableColumn id="4" name="依据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d5353a61ae2442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965e5b14dfa408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327bbcb87a4403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27e325f4475401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22" hidden="0" customWidth="1"/>
    <x:col min="4" max="4" width="30" hidden="0" customWidth="1"/>
    <x:col min="5" max="5" width="31" hidden="0" customWidth="1"/>
    <x:col min="6" max="6" width="28" hidden="0" customWidth="1"/>
    <x:col min="7" max="7" width="18" hidden="0" customWidth="1"/>
    <x:col min="8" max="8" width="30" hidden="0" customWidth="1"/>
    <x:col min="9" max="9" width="27" hidden="0" customWidth="1"/>
    <x:col min="10" max="10" width="33" hidden="0" customWidth="1"/>
    <x:col min="11" max="11" width="14" hidden="0" customWidth="1"/>
    <x:col min="12" max="12" width="14" hidden="0" customWidth="1"/>
    <x:col min="13" max="13" width="19" hidden="0" customWidth="1"/>
    <x:col min="14" max="14" width="10" hidden="0" customWidth="1"/>
    <x:col min="15" max="15" width="25" hidden="0" customWidth="1"/>
    <x:col min="16" max="16" width="12" hidden="0" customWidth="1"/>
    <x:col min="17" max="17" width="23" hidden="0" customWidth="1"/>
  </x:cols>
  <x:sheetData>
    <x:row r="1" ht="34" customHeight="1">
      <x:c r="A1" s="4" t="str">
        <x:v>2026-07-23 新增需求追踪表</x:v>
      </x:c>
      <x:c r="B1" s="4" t="str">
        <x:v>2026-07-23 新增需求追踪表</x:v>
      </x:c>
      <x:c r="C1" s="4" t="str">
        <x:v>2026-07-23 新增需求追踪表</x:v>
      </x:c>
      <x:c r="D1" s="4" t="str">
        <x:v>2026-07-23 新增需求追踪表</x:v>
      </x:c>
      <x:c r="E1" s="4" t="str">
        <x:v>2026-07-23 新增需求追踪表</x:v>
      </x:c>
      <x:c r="F1" s="4" t="str">
        <x:v>2026-07-23 新增需求追踪表</x:v>
      </x:c>
      <x:c r="G1" s="4" t="str">
        <x:v>2026-07-23 新增需求追踪表</x:v>
      </x:c>
      <x:c r="H1" s="4" t="str">
        <x:v>2026-07-23 新增需求追踪表</x:v>
      </x:c>
      <x:c r="I1" s="4" t="str">
        <x:v>2026-07-23 新增需求追踪表</x:v>
      </x:c>
      <x:c r="J1" s="4" t="str">
        <x:v>2026-07-23 新增需求追踪表</x:v>
      </x:c>
      <x:c r="K1" s="4" t="str">
        <x:v>2026-07-23 新增需求追踪表</x:v>
      </x:c>
      <x:c r="L1" s="4" t="str">
        <x:v>2026-07-23 新增需求追踪表</x:v>
      </x:c>
      <x:c r="M1" s="4" t="str">
        <x:v>2026-07-23 新增需求追踪表</x:v>
      </x:c>
      <x:c r="N1" s="4" t="str">
        <x:v>2026-07-23 新增需求追踪表</x:v>
      </x:c>
      <x:c r="O1" s="4" t="str">
        <x:v>2026-07-23 新增需求追踪表</x:v>
      </x:c>
      <x:c r="P1" s="4" t="str">
        <x:v>2026-07-23 新增需求追踪表</x:v>
      </x:c>
      <x:c r="Q1" s="4" t="str">
        <x:v>2026-07-23 新增需求追踪表</x:v>
      </x:c>
    </x:row>
    <x:row r="2" ht="28" customHeight="1">
      <x:c r="A2" s="13" t="str">
        <x:v>需求总数</x:v>
      </x:c>
      <x:c r="B2" s="14" t="n">
        <x:f>COUNTA(A6:A26)</x:f>
        <x:v>21</x:v>
      </x:c>
      <x:c r="C2" s="14" t="str">
        <x:v>AI需求</x:v>
      </x:c>
      <x:c r="D2" s="14" t="n">
        <x:f>COUNTIF(B6:B26,"AI智能助手")</x:f>
        <x:v>11</x:v>
      </x:c>
      <x:c r="E2" s="14" t="str">
        <x:v>公共线索池</x:v>
      </x:c>
      <x:c r="F2" s="14" t="n">
        <x:f>COUNTIF(B6:B26,"公共线索池")</x:f>
        <x:v>10</x:v>
      </x:c>
      <x:c r="G2" s="14" t="str">
        <x:v>高风险</x:v>
      </x:c>
      <x:c r="H2" s="14" t="n">
        <x:f>COUNTIF(N6:N26,"高")</x:f>
        <x:v>7</x:v>
      </x:c>
      <x:c r="I2" s="14" t="str">
        <x:v>需产品确认</x:v>
      </x:c>
      <x:c r="J2" s="14" t="n">
        <x:f>COUNTIF(L6:L26,"是")</x:f>
        <x:v>21</x:v>
      </x:c>
      <x:c r="K2" s="14" t="str">
        <x:v>不可直接开发</x:v>
      </x:c>
      <x:c r="L2" s="14" t="n">
        <x:f>COUNTIF(K6:K26,"否")</x:f>
        <x:v>18</x:v>
      </x:c>
      <x:c r="M2" s="14" t="str">
        <x:v>版本</x:v>
      </x:c>
      <x:c r="N2" s="14" t="str">
        <x:v>V1.0</x:v>
      </x:c>
      <x:c r="O2" s="14" t="str">
        <x:v>分析日期</x:v>
      </x:c>
      <x:c r="P2" s="14" t="str">
        <x:v>2026-07-23</x:v>
      </x:c>
      <x:c r="Q2" s="15" t="str">
        <x:v>只读代码分析</x:v>
      </x:c>
    </x:row>
    <x:row r="3" ht="24" customHeight="1">
      <x:c r="A3" s="18" t="str">
        <x:v>说明：所有不明确内容均在“待确认问题”工作表中管理；工作量不含产品等待、外部团队排期、正式UAT、生产发布观察和大规模历史数据清洗。</x:v>
      </x:c>
      <x:c r="B3" s="18"/>
      <x:c r="C3" s="18"/>
      <x:c r="D3" s="18"/>
      <x:c r="E3" s="18"/>
      <x:c r="F3" s="18"/>
      <x:c r="G3" s="18"/>
      <x:c r="H3" s="18"/>
      <x:c r="I3" s="18"/>
      <x:c r="J3" s="18"/>
      <x:c r="K3" s="18"/>
      <x:c r="L3" s="18"/>
      <x:c r="M3" s="18"/>
      <x:c r="N3" s="18"/>
      <x:c r="O3" s="18"/>
      <x:c r="P3" s="18"/>
      <x:c r="Q3" s="18"/>
    </x:row>
    <x:row r="5" ht="34" customHeight="1">
      <x:c r="A5" s="24" t="str">
        <x:v>需求编号</x:v>
      </x:c>
      <x:c r="B5" s="24" t="str">
        <x:v>模块</x:v>
      </x:c>
      <x:c r="C5" s="24" t="str">
        <x:v>原始描述</x:v>
      </x:c>
      <x:c r="D5" s="24" t="str">
        <x:v>整理后的需求</x:v>
      </x:c>
      <x:c r="E5" s="24" t="str">
        <x:v>当前功能</x:v>
      </x:c>
      <x:c r="F5" s="24" t="str">
        <x:v>修改目标</x:v>
      </x:c>
      <x:c r="G5" s="24" t="str">
        <x:v>涉及页面</x:v>
      </x:c>
      <x:c r="H5" s="24" t="str">
        <x:v>涉及接口</x:v>
      </x:c>
      <x:c r="I5" s="24" t="str">
        <x:v>涉及数据库</x:v>
      </x:c>
      <x:c r="J5" s="24" t="str">
        <x:v>涉及代码目录</x:v>
      </x:c>
      <x:c r="K5" s="24" t="str">
        <x:v>是否可以直接开发</x:v>
      </x:c>
      <x:c r="L5" s="24" t="str">
        <x:v>是否需要产品确认</x:v>
      </x:c>
      <x:c r="M5" s="24" t="str">
        <x:v>需要确认的问题</x:v>
      </x:c>
      <x:c r="N5" s="24" t="str">
        <x:v>风险等级</x:v>
      </x:c>
      <x:c r="O5" s="24" t="str">
        <x:v>工作量预估</x:v>
      </x:c>
      <x:c r="P5" s="24" t="str">
        <x:v>状态</x:v>
      </x:c>
      <x:c r="Q5" s="24" t="str">
        <x:v>依赖关系/备注</x:v>
      </x:c>
    </x:row>
    <x:row r="6" ht="76" customHeight="1">
      <x:c r="A6" s="44" t="str">
        <x:v>AI-001</x:v>
      </x:c>
      <x:c r="B6" s="45" t="str">
        <x:v>AI智能助手</x:v>
      </x:c>
      <x:c r="C6" s="39" t="str">
        <x:v>PPT变成可编辑版本</x:v>
      </x:c>
      <x:c r="D6" s="39" t="str">
        <x:v>AI生成投资材料后，交付符合确认标准的可编辑PPTX；先明确入口、可编辑对象范围、保真度、版本与归档规则。</x:v>
      </x:c>
      <x:c r="E6" s="39" t="str">
        <x:v>材料页PptxGenJS链路可生成原生可编辑文本/形状；AI助手由外部Flue生成，当前仓库无法确认线上已执行图片转可编辑流程。</x:v>
      </x:c>
      <x:c r="F6" s="39" t="str">
        <x:v>指定入口稳定输出可验收的可编辑PPTX，并明确图片版、可编辑版、预览及中间产物关系。</x:v>
      </x:c>
      <x:c r="G6" s="39" t="str">
        <x:v>/ai；是否包含/materials待确认</x:v>
      </x:c>
      <x:c r="H6" s="39" t="str">
        <x:v>/ai/api/agents/assistant/:conversationId；POST /api/materials/generate；POST /api/materials/generate-internal；workspace文件接口</x:v>
      </x:c>
      <x:c r="I6" s="39" t="str">
        <x:v>读取projects、project_files、knowledge_chunks、ai_summaries；当前无材料任务/文件版本表；产物落文件系统</x:v>
      </x:c>
      <x:c r="J6" s="39" t="str">
        <x:v>src/pages/AIAssistantPage.tsx；src/pages/MaterialsPage.tsx；server/src/services/materialService.ts；server/src/routes/workspace.ts；project-discovery/GordenSuperPPTSkills/</x:v>
      </x:c>
      <x:c r="K6" s="50" t="str">
        <x:v>否</x:v>
      </x:c>
      <x:c r="L6" s="50" t="str">
        <x:v>是</x:v>
      </x:c>
      <x:c r="M6" s="50" t="str">
        <x:v>Q-AI-001～Q-AI-004</x:v>
      </x:c>
      <x:c r="N6" s="50" t="str">
        <x:v>高</x:v>
      </x:c>
      <x:c r="O6" s="50" t="str">
        <x:v>1～2人日（复用标准链路）；5～10人日（完整AI可编辑+QA）；全元素对象化另评</x:v>
      </x:c>
      <x:c r="P6" s="50" t="str">
        <x:v>待确认</x:v>
      </x:c>
      <x:c r="Q6" s="40" t="str">
        <x:v>AI-009依赖；外部Flue在仓库外</x:v>
      </x:c>
    </x:row>
    <x:row r="7" ht="76" customHeight="1">
      <x:c r="A7" s="46" t="str">
        <x:v>AI-002</x:v>
      </x:c>
      <x:c r="B7" s="47" t="str">
        <x:v>AI智能助手</x:v>
      </x:c>
      <x:c r="C7" s="42" t="str">
        <x:v>聊天输入时会自动发送（疑似Enter或输入框Bug）</x:v>
      </x:c>
      <x:c r="D7" s="42" t="str">
        <x:v>仅在用户明确发送时提交；消除输入法确认、误触Enter和生成中重复提交造成的非预期发送。</x:v>
      </x:c>
      <x:c r="E7" s="42" t="str">
        <x:v>Enter发送、Shift+Enter换行；未检查isComposing；键盘提交路径未做busy拦截。中文输入法只是排查方向，根因未确认。</x:v>
      </x:c>
      <x:c r="F7" s="42" t="str">
        <x:v>统一Enter、换行、IME、发送按钮、快捷入口和生成中提交规则。</x:v>
      </x:c>
      <x:c r="G7" s="42" t="str">
        <x:v>/ai输入框与快捷建议</x:v>
      </x:c>
      <x:c r="H7" s="42" t="str">
        <x:v>/ai/api/agents/assistant/:conversationId</x:v>
      </x:c>
      <x:c r="I7" s="42" t="str">
        <x:v>无直接结构变更；chat_conversations仅存索引，消息正文由Flue保存</x:v>
      </x:c>
      <x:c r="J7" s="42" t="str">
        <x:v>src/pages/AIAssistantPage.tsx；vite.config.ts；外部Flue SDK</x:v>
      </x:c>
      <x:c r="K7" s="51" t="str">
        <x:v>可先诊断</x:v>
      </x:c>
      <x:c r="L7" s="51" t="str">
        <x:v>是</x:v>
      </x:c>
      <x:c r="M7" s="51" t="str">
        <x:v>Q-AI-005～Q-AI-007</x:v>
      </x:c>
      <x:c r="N7" s="51" t="str">
        <x:v>中</x:v>
      </x:c>
      <x:c r="O7" s="51" t="str">
        <x:v>1～2人日；整体重做键盘与排队交互约2～3人日</x:v>
      </x:c>
      <x:c r="P7" s="51" t="str">
        <x:v>可先诊断</x:v>
      </x:c>
      <x:c r="Q7" s="43" t="str">
        <x:v>会影响AI-006快捷入口点击行为</x:v>
      </x:c>
    </x:row>
    <x:row r="8" ht="76" customHeight="1">
      <x:c r="A8" s="46" t="str">
        <x:v>AI-003</x:v>
      </x:c>
      <x:c r="B8" s="47" t="str">
        <x:v>AI智能助手</x:v>
      </x:c>
      <x:c r="C8" s="42" t="str">
        <x:v>每次选择“智灵动力”模型，希望默认固定</x:v>
      </x:c>
      <x:c r="D8" s="42" t="str">
        <x:v>明确“智灵动力”对象后，按用户/设备/机构范围设置默认或固定值，并定义URL、历史会话与默认值优先级。</x:v>
      </x:c>
      <x:c r="E8" s="42" t="str">
        <x:v>仓库没有模型选择器，只有范围和项目选择器；项目已按URL &gt; localStorage上次选择 &gt; 默认p-1001恢复。</x:v>
      </x:c>
      <x:c r="F8" s="42" t="str">
        <x:v>若指项目则正确恢复/固定项目上下文；若指模型则在外部Flue/模型配置层实现。</x:v>
      </x:c>
      <x:c r="G8" s="42" t="str">
        <x:v>/ai顶部选择区</x:v>
      </x:c>
      <x:c r="H8" s="42" t="str">
        <x:v>若指项目：GET /api/projects；若指模型：外部Flue/模型配置；当前无用户偏好API</x:v>
      </x:c>
      <x:c r="I8" s="42" t="str">
        <x:v>projects、chat_conversations；当前无user_preferences表</x:v>
      </x:c>
      <x:c r="J8" s="42" t="str">
        <x:v>src/pages/AIAssistantPage.tsx；src/store/useAppStore.ts；server/src/db/schema.ts；外部Flue配置</x:v>
      </x:c>
      <x:c r="K8" s="51" t="str">
        <x:v>否</x:v>
      </x:c>
      <x:c r="L8" s="51" t="str">
        <x:v>是</x:v>
      </x:c>
      <x:c r="M8" s="51" t="str">
        <x:v>Q-AI-008～Q-AI-010</x:v>
      </x:c>
      <x:c r="N8" s="51" t="str">
        <x:v>中</x:v>
      </x:c>
      <x:c r="O8" s="51" t="str">
        <x:v>浏览器项目偏好0.5～1人日；跨设备偏好2～4人日；模型固定另评</x:v>
      </x:c>
      <x:c r="P8" s="51" t="str">
        <x:v>待确认</x:v>
      </x:c>
      <x:c r="Q8" s="43" t="str">
        <x:v>决定AI-006～AI-011使用的项目/模型上下文</x:v>
      </x:c>
    </x:row>
    <x:row r="9" ht="76" customHeight="1">
      <x:c r="A9" s="46" t="str">
        <x:v>AI-004</x:v>
      </x:c>
      <x:c r="B9" s="47" t="str">
        <x:v>AI智能助手</x:v>
      </x:c>
      <x:c r="C9" s="42" t="str">
        <x:v>AI生成结束后页面偶尔出现白屏</x:v>
      </x:c>
      <x:c r="D9" s="42" t="str">
        <x:v>定位并消除任务结束后的页面崩溃；异常时保留页面外壳、会话和结果访问能力，并产生可定位错误。</x:v>
      </x:c>
      <x:c r="E9" s="42" t="str">
        <x:v>仅局部显示agent.error；未发现应用级ErrorBoundary或前端错误遥测。消息渲染、busy→idle刷新/滚动/标题均为排查点，根因未确认。</x:v>
      </x:c>
      <x:c r="F9" s="42" t="str">
        <x:v>取得复现或生产证据，修复根因，并增加错误边界、降级与必要监控。</x:v>
      </x:c>
      <x:c r="G9" s="42" t="str">
        <x:v>/ai</x:v>
      </x:c>
      <x:c r="H9" s="42" t="str">
        <x:v>/ai/api/agents/assistant/:conversationId；POST /api/conversations/:id/summarize-title；GET /api/workspace?path=</x:v>
      </x:c>
      <x:c r="I9" s="42" t="str">
        <x:v>chat_conversations；完整消息在Flue；当前无前端崩溃事件表</x:v>
      </x:c>
      <x:c r="J9" s="42" t="str">
        <x:v>src/pages/AIAssistantPage.tsx；src/App.tsx；src/main.tsx；server/src/routes/conversations.ts；server/src/routes/workspace.ts</x:v>
      </x:c>
      <x:c r="K9" s="51" t="str">
        <x:v>可先诊断</x:v>
      </x:c>
      <x:c r="L9" s="51" t="str">
        <x:v>是</x:v>
      </x:c>
      <x:c r="M9" s="51" t="str">
        <x:v>Q-AI-011～Q-AI-013</x:v>
      </x:c>
      <x:c r="N9" s="51" t="str">
        <x:v>高</x:v>
      </x:c>
      <x:c r="O9" s="51" t="str">
        <x:v>诊断、防护与回归2～5人日；Flue/超大消息根因需追加联调</x:v>
      </x:c>
      <x:c r="P9" s="51" t="str">
        <x:v>可先诊断</x:v>
      </x:c>
      <x:c r="Q9" s="43" t="str">
        <x:v>PPT和大型工具输出扩展前宜优先处理</x:v>
      </x:c>
    </x:row>
    <x:row r="10" ht="76" customHeight="1">
      <x:c r="A10" s="46" t="str">
        <x:v>AI-005</x:v>
      </x:c>
      <x:c r="B10" s="47" t="str">
        <x:v>AI智能助手</x:v>
      </x:c>
      <x:c r="C10" s="42" t="str">
        <x:v>右侧文件区域保留有用功能，删除无用功能</x:v>
      </x:c>
      <x:c r="D10" s="42" t="str">
        <x:v>按确认清单精简右侧文件区，并明确文件按用户、项目、会话或工作区展示。</x:v>
      </x:c>
      <x:c r="E10" s="42" t="str">
        <x:v>宽屏下含项目摘要、文件树、刷新、目录展开、预览、下载和关闭；直接读取AGENT_WORKSPACE，未建立用户/项目/会话数据库归属。</x:v>
      </x:c>
      <x:c r="F10" s="42" t="str">
        <x:v>只呈现有效交付物和必要操作，减少中间目录噪音，并避免跨项目/用户可见。</x:v>
      </x:c>
      <x:c r="G10" s="42" t="str">
        <x:v>/ai右侧栏与文件预览</x:v>
      </x:c>
      <x:c r="H10" s="42" t="str">
        <x:v>GET /api/workspace?path=；GET /api/workspace/file?path=&amp;download=1；POST /api/workspace/file</x:v>
      </x:c>
      <x:c r="I10" s="42" t="str">
        <x:v>当前无；若需归属、归档、审计，需元数据设计或目录协议</x:v>
      </x:c>
      <x:c r="J10" s="42" t="str">
        <x:v>src/pages/AIAssistantPage.tsx；server/src/routes/workspace.ts</x:v>
      </x:c>
      <x:c r="K10" s="51" t="str">
        <x:v>否</x:v>
      </x:c>
      <x:c r="L10" s="51" t="str">
        <x:v>是</x:v>
      </x:c>
      <x:c r="M10" s="51" t="str">
        <x:v>Q-AI-014～Q-AI-016</x:v>
      </x:c>
      <x:c r="N10" s="51" t="str">
        <x:v>中</x:v>
      </x:c>
      <x:c r="O10" s="51" t="str">
        <x:v>纯前端1～2人日；含后端过滤及会话/项目隔离3～6人日</x:v>
      </x:c>
      <x:c r="P10" s="51" t="str">
        <x:v>待确认</x:v>
      </x:c>
      <x:c r="Q10" s="43" t="str">
        <x:v>是AI-007～AI-010产物交付区</x:v>
      </x:c>
    </x:row>
    <x:row r="11" ht="76" customHeight="1">
      <x:c r="A11" s="46" t="str">
        <x:v>AI-006</x:v>
      </x:c>
      <x:c r="B11" s="47" t="str">
        <x:v>AI智能助手</x:v>
      </x:c>
      <x:c r="C11" s="42" t="str">
        <x:v>聊天框顶部增加快捷入口</x:v>
      </x:c>
      <x:c r="D11" s="42" t="str">
        <x:v>提供统一快捷入口栏，定义展示、点击、上下文、权限、执行状态和产物交付规则。</x:v>
      </x:c>
      <x:c r="E11" s="42" t="str">
        <x:v>输入框上方已有4个固定建议按钮，点击立即发送固定文本；无配置化入口、表单、权限或任务模板。</x:v>
      </x:c>
      <x:c r="F11" s="42" t="str">
        <x:v>承载AI-007～AI-011五个入口，并与发送规则、项目上下文和文件交付保持一致。</x:v>
      </x:c>
      <x:c r="G11" s="42" t="str">
        <x:v>/ai</x:v>
      </x:c>
      <x:c r="H11" s="42" t="str">
        <x:v>简单Prompt复用Flue Agent；正式任务可能涉及materials、internal/search-docs和workspace接口</x:v>
      </x:c>
      <x:c r="I11" s="42" t="str">
        <x:v>简单按钮无需新增；当前无快捷入口配置、Prompt模板或任务表</x:v>
      </x:c>
      <x:c r="J11" s="42" t="str">
        <x:v>src/pages/AIAssistantPage.tsx；server/src/routes/internal.ts；server/src/routes/index.ts；server/src/routes/workspace.ts</x:v>
      </x:c>
      <x:c r="K11" s="51" t="str">
        <x:v>否</x:v>
      </x:c>
      <x:c r="L11" s="51" t="str">
        <x:v>是</x:v>
      </x:c>
      <x:c r="M11" s="51" t="str">
        <x:v>Q-AI-017～Q-AI-019</x:v>
      </x:c>
      <x:c r="N11" s="51" t="str">
        <x:v>中</x:v>
      </x:c>
      <x:c r="O11" s="51" t="str">
        <x:v>公共入口栏与统一交互1～2人日，不含五项业务能力</x:v>
      </x:c>
      <x:c r="P11" s="51" t="str">
        <x:v>待确认</x:v>
      </x:c>
      <x:c r="Q11" s="43" t="str">
        <x:v>父需求：AI-007～AI-011；依赖AI-002/003/005</x:v>
      </x:c>
    </x:row>
    <x:row r="12" ht="76" customHeight="1">
      <x:c r="A12" s="46" t="str">
        <x:v>AI-007</x:v>
      </x:c>
      <x:c r="B12" s="47" t="str">
        <x:v>AI智能助手</x:v>
      </x:c>
      <x:c r="C12" s="42" t="str">
        <x:v>快捷入口：合规性说明</x:v>
      </x:c>
      <x:c r="D12" s="42" t="str">
        <x:v>启动经确认的合规性说明流程；内容范围、依据、免责声明、审核和输出格式由产品/法务定义。</x:v>
      </x:c>
      <x:c r="E12" s="42" t="str">
        <x:v>无独立入口、模板或接口；普通Agent可生成文本，但没有专门合规边界。</x:v>
      </x:c>
      <x:c r="F12" s="42" t="str">
        <x:v>按确认模板生成并展示/保存合规性说明，明确其是固定免责声明、项目分析还是正式材料。</x:v>
      </x:c>
      <x:c r="G12" s="42" t="str">
        <x:v>/ai</x:v>
      </x:c>
      <x:c r="H12" s="42" t="str">
        <x:v>待确认；简单方案为/ai/api/agents/assistant/:conversationId</x:v>
      </x:c>
      <x:c r="I12" s="42" t="str">
        <x:v>可能读取projects、project_files、knowledge_chunks；是否保存产物待确认</x:v>
      </x:c>
      <x:c r="J12" s="42" t="str">
        <x:v>src/pages/AIAssistantPage.tsx；server/src/routes/internal.ts；外部Flue</x:v>
      </x:c>
      <x:c r="K12" s="51" t="str">
        <x:v>否</x:v>
      </x:c>
      <x:c r="L12" s="51" t="str">
        <x:v>是</x:v>
      </x:c>
      <x:c r="M12" s="51" t="str">
        <x:v>Q-AI-020</x:v>
      </x:c>
      <x:c r="N12" s="51" t="str">
        <x:v>高</x:v>
      </x:c>
      <x:c r="O12" s="51" t="str">
        <x:v>固定模板1～2人日；项目分析、引用、审核和归档3～5人日以上</x:v>
      </x:c>
      <x:c r="P12" s="51" t="str">
        <x:v>待确认</x:v>
      </x:c>
      <x:c r="Q12" s="43" t="str">
        <x:v>依赖AI-006；需法务确认</x:v>
      </x:c>
    </x:row>
    <x:row r="13" ht="76" customHeight="1">
      <x:c r="A13" s="46" t="str">
        <x:v>AI-008</x:v>
      </x:c>
      <x:c r="B13" s="47" t="str">
        <x:v>AI智能助手</x:v>
      </x:c>
      <x:c r="C13" s="42" t="str">
        <x:v>快捷入口：投资提案</x:v>
      </x:c>
      <x:c r="D13" s="42" t="str">
        <x:v>生成产品定义中的“投资提案”；先明确其与投资建议书的边界、模板、输入和输出。</x:v>
      </x:c>
      <x:c r="E13" s="42" t="str">
        <x:v>已有普通问答和材料生成能力，但无名为“投资提案”的独立工作流或数据模型。</x:v>
      </x:c>
      <x:c r="F13" s="42" t="str">
        <x:v>按确认模板和项目上下文生成指定产物，并提供进度、失败反馈和结果访问。</x:v>
      </x:c>
      <x:c r="G13" s="42" t="str">
        <x:v>/ai；是否关联/materials待确认</x:v>
      </x:c>
      <x:c r="H13" s="42" t="str">
        <x:v>待确认；可能为Flue Agent或POST /api/materials/generate(-internal)</x:v>
      </x:c>
      <x:c r="I13" s="42" t="str">
        <x:v>可能读取projects、project_files、knowledge_chunks、ai_summaries；当前无任务/版本表</x:v>
      </x:c>
      <x:c r="J13" s="42" t="str">
        <x:v>src/pages/AIAssistantPage.tsx；src/pages/MaterialsPage.tsx；server/src/services/materialService.ts；server/src/routes/index.ts；外部Flue</x:v>
      </x:c>
      <x:c r="K13" s="51" t="str">
        <x:v>否</x:v>
      </x:c>
      <x:c r="L13" s="51" t="str">
        <x:v>是</x:v>
      </x:c>
      <x:c r="M13" s="51" t="str">
        <x:v>Q-AI-021</x:v>
      </x:c>
      <x:c r="N13" s="51" t="str">
        <x:v>中</x:v>
      </x:c>
      <x:c r="O13" s="51" t="str">
        <x:v>约3～8人日，取决于是否为正式文档工作流</x:v>
      </x:c>
      <x:c r="P13" s="51" t="str">
        <x:v>待确认</x:v>
      </x:c>
      <x:c r="Q13" s="43" t="str">
        <x:v>依赖AI-006</x:v>
      </x:c>
    </x:row>
    <x:row r="14" ht="76" customHeight="1">
      <x:c r="A14" s="46" t="str">
        <x:v>AI-009</x:v>
      </x:c>
      <x:c r="B14" s="47" t="str">
        <x:v>AI智能助手</x:v>
      </x:c>
      <x:c r="C14" s="42" t="str">
        <x:v>快捷入口：投资建议书（PPT）</x:v>
      </x:c>
      <x:c r="D14" s="42" t="str">
        <x:v>从当前项目上下文启动投资建议书PPT生成，并按AI-001确认的可编辑标准交付。</x:v>
      </x:c>
      <x:c r="E14" s="42" t="str">
        <x:v>现有建议按钮可发送“帮我生成一份投委会PPT”；材料模块也能生成投资建议书PPTX，但尚未形成统一快捷链路。</x:v>
      </x:c>
      <x:c r="F14" s="42" t="str">
        <x:v>统一入口、模板、参数、进度和文件交付，避免与现有建议按钮及/materials重复。</x:v>
      </x:c>
      <x:c r="G14" s="42" t="str">
        <x:v>/ai；可能关联/materials</x:v>
      </x:c>
      <x:c r="H14" s="42" t="str">
        <x:v>Flue Agent；POST /api/materials/generate；POST /api/materials/generate-internal；workspace文件接口</x:v>
      </x:c>
      <x:c r="I14" s="42" t="str">
        <x:v>读取项目与知识库相关表；当前无材料任务/版本表</x:v>
      </x:c>
      <x:c r="J14" s="42" t="str">
        <x:v>src/pages/AIAssistantPage.tsx；src/pages/MaterialsPage.tsx；server/src/services/materialService.ts；server/src/routes/index.ts；project-discovery/GordenSuperPPTSkills/；外部Flue</x:v>
      </x:c>
      <x:c r="K14" s="51" t="str">
        <x:v>否</x:v>
      </x:c>
      <x:c r="L14" s="51" t="str">
        <x:v>是</x:v>
      </x:c>
      <x:c r="M14" s="51" t="str">
        <x:v>Q-AI-004、Q-AI-018、Q-AI-022</x:v>
      </x:c>
      <x:c r="N14" s="51" t="str">
        <x:v>高</x:v>
      </x:c>
      <x:c r="O14" s="51" t="str">
        <x:v>入口集成2～5人日，不含AI-001可编辑能力</x:v>
      </x:c>
      <x:c r="P14" s="51" t="str">
        <x:v>待确认</x:v>
      </x:c>
      <x:c r="Q14" s="43" t="str">
        <x:v>依赖AI-001、AI-006</x:v>
      </x:c>
    </x:row>
    <x:row r="15" ht="76" customHeight="1">
      <x:c r="A15" s="46" t="str">
        <x:v>AI-010</x:v>
      </x:c>
      <x:c r="B15" s="47" t="str">
        <x:v>AI智能助手</x:v>
      </x:c>
      <x:c r="C15" s="42" t="str">
        <x:v>快捷入口：尽调报告</x:v>
      </x:c>
      <x:c r="D15" s="42" t="str">
        <x:v>启动经确认范围的尽调报告生成，明确章节、证据引用、核验状态、责任边界和输出格式。</x:v>
      </x:c>
      <x:c r="E15" s="42" t="str">
        <x:v>Agent可检索项目资料并回答尽调问题；无正式尽调报告工作流、模板和版本归档。</x:v>
      </x:c>
      <x:c r="F15" s="42" t="str">
        <x:v>生成可追溯报告，区分事实、推断、待核验项和缺失资料。</x:v>
      </x:c>
      <x:c r="G15" s="42" t="str">
        <x:v>/ai</x:v>
      </x:c>
      <x:c r="H15" s="42" t="str">
        <x:v>Flue Agent；可能涉及POST /api/internal/search-docs和workspace文件接口</x:v>
      </x:c>
      <x:c r="I15" s="42" t="str">
        <x:v>projects、project_files、knowledge_chunks、ai_summaries；是否新增任务/版本表待确认</x:v>
      </x:c>
      <x:c r="J15" s="42" t="str">
        <x:v>src/pages/AIAssistantPage.tsx；server/src/routes/internal.ts；server/src/services/ragService.ts；server/src/routes/workspace.ts；外部Flue</x:v>
      </x:c>
      <x:c r="K15" s="51" t="str">
        <x:v>否</x:v>
      </x:c>
      <x:c r="L15" s="51" t="str">
        <x:v>是</x:v>
      </x:c>
      <x:c r="M15" s="51" t="str">
        <x:v>Q-AI-023</x:v>
      </x:c>
      <x:c r="N15" s="51" t="str">
        <x:v>高</x:v>
      </x:c>
      <x:c r="O15" s="51" t="str">
        <x:v>6～10人日；多类模板、审批和版本管理另评</x:v>
      </x:c>
      <x:c r="P15" s="51" t="str">
        <x:v>待确认</x:v>
      </x:c>
      <x:c r="Q15" s="43" t="str">
        <x:v>依赖AI-006；需业务/法务确认</x:v>
      </x:c>
    </x:row>
    <x:row r="16" ht="76" customHeight="1">
      <x:c r="A16" s="46" t="str">
        <x:v>AI-011</x:v>
      </x:c>
      <x:c r="B16" s="47" t="str">
        <x:v>AI智能助手</x:v>
      </x:c>
      <x:c r="C16" s="42" t="str">
        <x:v>快捷入口：Q&amp;A</x:v>
      </x:c>
      <x:c r="D16" s="42" t="str">
        <x:v>提供与普通聊天有明确差异的Q&amp;A入口；先确认是自由问答、问题库、FAQ生成还是专项模式。</x:v>
      </x:c>
      <x:c r="E16" s="42" t="str">
        <x:v>/ai本身已经是项目/全局知识库问答界面，新增同名入口会与现有功能重叠。</x:v>
      </x:c>
      <x:c r="F16" s="42" t="str">
        <x:v>按确认场景提供问题模板或模式，避免重复入口和用户理解冲突。</x:v>
      </x:c>
      <x:c r="G16" s="42" t="str">
        <x:v>/ai</x:v>
      </x:c>
      <x:c r="H16" s="42" t="str">
        <x:v>待确认；可能复用/ai/api/agents/assistant/:conversationId</x:v>
      </x:c>
      <x:c r="I16" s="42" t="str">
        <x:v>简单问答无新增；若为问题库，当前无相应表</x:v>
      </x:c>
      <x:c r="J16" s="42" t="str">
        <x:v>src/pages/AIAssistantPage.tsx；server/src/routes/internal.ts；外部Flue</x:v>
      </x:c>
      <x:c r="K16" s="51" t="str">
        <x:v>否</x:v>
      </x:c>
      <x:c r="L16" s="51" t="str">
        <x:v>是</x:v>
      </x:c>
      <x:c r="M16" s="51" t="str">
        <x:v>Q-AI-024</x:v>
      </x:c>
      <x:c r="N16" s="51" t="str">
        <x:v>中</x:v>
      </x:c>
      <x:c r="O16" s="51" t="str">
        <x:v>固定问题入口1～2人日；问题库/FAQ工作流2～4人日</x:v>
      </x:c>
      <x:c r="P16" s="51" t="str">
        <x:v>待确认</x:v>
      </x:c>
      <x:c r="Q16" s="43" t="str">
        <x:v>依赖AI-006</x:v>
      </x:c>
    </x:row>
    <x:row r="17" ht="76" customHeight="1">
      <x:c r="A17" s="46" t="str">
        <x:v>POOL-001</x:v>
      </x:c>
      <x:c r="B17" s="47" t="str">
        <x:v>公共线索池</x:v>
      </x:c>
      <x:c r="C17" s="42" t="str">
        <x:v>数据更新速度慢</x:v>
      </x:c>
      <x:c r="D17" s="42" t="str">
        <x:v>在确认数据源和目标时效后，建立Radar采集、平台同步、AI分析到列表可见的时效闭环，并识别延迟与失败。</x:v>
      </x:c>
      <x:c r="E17" s="42" t="str">
        <x:v>手工同步每次limit=25；后端请求Radar并异步分析；默认列表隐藏未评分线索；同步完成后的当前刷新路径不直接重拉线索。</x:v>
      </x:c>
      <x:c r="F17" s="42" t="str">
        <x:v>达到确认SLA，支持连续增量获取、同步后合理呈现，并暴露采集/同步/评分/可见阶段时间和失败原因。</x:v>
      </x:c>
      <x:c r="G17" s="42" t="str">
        <x:v>/sourcing；是否在系统首页/Radar管理页展示状态待确认</x:v>
      </x:c>
      <x:c r="H17" s="42" t="str">
        <x:v>POST /api/leads/sync-radar；GET /api/leads；GET /api/leads/stats；POST/GET /api/leads/:id/score；Radar GET /api/candidates及采集接口</x:v>
      </x:c>
      <x:c r="I17" s="42" t="str">
        <x:v>leads；当前未见updated_at、last_synced_at、来源唯一键和同步失败状态；Radar原始数据位于project-discovery/data/</x:v>
      </x:c>
      <x:c r="J17" s="42" t="str">
        <x:v>src/pages/SourcingPage.tsx；src/store/useAppStore.ts；server/src/routes/meta.ts；server/src/services/aiSummaryService.ts；server/src/db/schema.ts；project-discovery/app.py</x:v>
      </x:c>
      <x:c r="K17" s="51" t="str">
        <x:v>可先诊断</x:v>
      </x:c>
      <x:c r="L17" s="51" t="str">
        <x:v>是</x:v>
      </x:c>
      <x:c r="M17" s="51" t="str">
        <x:v>Q-POOL-001～Q-POOL-004</x:v>
      </x:c>
      <x:c r="N17" s="51" t="str">
        <x:v>高</x:v>
      </x:c>
      <x:c r="O17" s="51" t="str">
        <x:v>3～5人日；持久队列、自动补偿和监控约6～10人日以上</x:v>
      </x:c>
      <x:c r="P17" s="51" t="str">
        <x:v>可先诊断</x:v>
      </x:c>
      <x:c r="Q17" s="43" t="str">
        <x:v>POOL-002/004/005/007的数据基础</x:v>
      </x:c>
    </x:row>
    <x:row r="18" ht="76" customHeight="1">
      <x:c r="A18" s="46" t="str">
        <x:v>POOL-002</x:v>
      </x:c>
      <x:c r="B18" s="47" t="str">
        <x:v>公共线索池</x:v>
      </x:c>
      <x:c r="C18" s="42" t="str">
        <x:v>部分数据没有更新</x:v>
      </x:c>
      <x:c r="D18" s="42" t="str">
        <x:v>Radar返回已存在主体的新数据时，按确认的唯一标识、字段优先级和人工数据保护规则更新或合并原线索。</x:v>
      </x:c>
      <x:c r="E18" s="42" t="str">
        <x:v>后端按全表name去重，已存在时直接continue；只创建新记录，不更新旧记录。名称也不能可靠代表法人主体。</x:v>
      </x:c>
      <x:c r="F18" s="42" t="str">
        <x:v>实现可解释的upsert/合并，支持新情报、融资、估值、标签和更新时间增量更新并处理冲突。</x:v>
      </x:c>
      <x:c r="G18" s="42" t="str">
        <x:v>/sourcing；可能增加更新状态与历史</x:v>
      </x:c>
      <x:c r="H18" s="42" t="str">
        <x:v>POST /api/leads/sync-radar；GET /api/leads/:id；Radar GET /api/candidates；可能新增历史/重试接口</x:v>
      </x:c>
      <x:c r="I18" s="42" t="str">
        <x:v>leads；可能需来源唯一键、updated_at、last_synced_at、版本/历史或同步任务表</x:v>
      </x:c>
      <x:c r="J18" s="42" t="str">
        <x:v>server/src/routes/meta.ts；server/src/services/aiSummaryService.ts；server/src/db/schema.ts；src/pages/SourcingPage.tsx；project-discovery/app.py</x:v>
      </x:c>
      <x:c r="K18" s="51" t="str">
        <x:v>否</x:v>
      </x:c>
      <x:c r="L18" s="51" t="str">
        <x:v>是</x:v>
      </x:c>
      <x:c r="M18" s="51" t="str">
        <x:v>Q-POOL-005～Q-POOL-008</x:v>
      </x:c>
      <x:c r="N18" s="51" t="str">
        <x:v>高</x:v>
      </x:c>
      <x:c r="O18" s="51" t="str">
        <x:v>5～10人日；历史全量回填和人工编辑保护另评</x:v>
      </x:c>
      <x:c r="P18" s="51" t="str">
        <x:v>待确认</x:v>
      </x:c>
      <x:c r="Q18" s="43" t="str">
        <x:v>依赖POOL-001口径；支撑估值/标签及时性</x:v>
      </x:c>
    </x:row>
    <x:row r="19" ht="76" customHeight="1">
      <x:c r="A19" s="46" t="str">
        <x:v>POOL-003</x:v>
      </x:c>
      <x:c r="B19" s="47" t="str">
        <x:v>公共线索池</x:v>
      </x:c>
      <x:c r="C19" s="42" t="str">
        <x:v>首页改成标签形式</x:v>
      </x:c>
      <x:c r="D19" s="42" t="str">
        <x:v>将确认的目标页面改为标签式导航/筛选，定义默认、数量、单/多选及与其他筛选的组合规则。</x:v>
      </x:c>
      <x:c r="E19" s="42" t="str">
        <x:v>/sourcing顶部为3个指标卡、搜索、渠道/行业/来源下拉、排序和表格；无标签式首页。</x:v>
      </x:c>
      <x:c r="F19" s="42" t="str">
        <x:v>通过业务标签快速切换全库线索集合，数量和筛选结果使用一致口径。</x:v>
      </x:c>
      <x:c r="G19" s="42" t="str">
        <x:v>可能为/sourcing；也可能为系统/，当前不确定</x:v>
      </x:c>
      <x:c r="H19" s="42" t="str">
        <x:v>GET /api/leads；GET /api/leads/stats；可能扩展维度聚合接口</x:v>
      </x:c>
      <x:c r="I19" s="42" t="str">
        <x:v>取决于标签定义，可能读取leads现有字段/JSONB或新增标签字段</x:v>
      </x:c>
      <x:c r="J19" s="42" t="str">
        <x:v>src/pages/SourcingPage.tsx；src/pages/DashboardPage.tsx；src/store/useAppStore.ts；server/src/routes/meta.ts；server/src/services/aiSummaryService.ts</x:v>
      </x:c>
      <x:c r="K19" s="51" t="str">
        <x:v>否</x:v>
      </x:c>
      <x:c r="L19" s="51" t="str">
        <x:v>是</x:v>
      </x:c>
      <x:c r="M19" s="51" t="str">
        <x:v>Q-POOL-009～Q-POOL-011</x:v>
      </x:c>
      <x:c r="N19" s="51" t="str">
        <x:v>中</x:v>
      </x:c>
      <x:c r="O19" s="51" t="str">
        <x:v>2～4人日；动态配置或复杂聚合4～7人日</x:v>
      </x:c>
      <x:c r="P19" s="51" t="str">
        <x:v>待确认</x:v>
      </x:c>
      <x:c r="Q19" s="43" t="str">
        <x:v>依赖POOL-004/005定义</x:v>
      </x:c>
    </x:row>
    <x:row r="20" ht="76" customHeight="1">
      <x:c r="A20" s="46" t="str">
        <x:v>POOL-004</x:v>
      </x:c>
      <x:c r="B20" s="47" t="str">
        <x:v>公共线索池</x:v>
      </x:c>
      <x:c r="C20" s="42" t="str">
        <x:v>提供几个核心维度</x:v>
      </x:c>
      <x:c r="D20" s="42" t="str">
        <x:v>定义核心维度及标签值、计算/维护来源、筛选组合和统计口径，保证列表、统计与详情一致。</x:v>
      </x:c>
      <x:c r="E20" s="42" t="str">
        <x:v>已有行业、渠道、来源、评分、核验状态、风险标签和AI评分维度，但无统一核心维度体系；部分选项硬编码前端。</x:v>
      </x:c>
      <x:c r="F20" s="42" t="str">
        <x:v>形成稳定、可解释的维度字典及一致查询口径。</x:v>
      </x:c>
      <x:c r="G20" s="42" t="str">
        <x:v>/sourcing；如需字典管理可能关联/system</x:v>
      </x:c>
      <x:c r="H20" s="42" t="str">
        <x:v>GET /api/leads；GET /api/leads/stats；可能新增标签/维度字典及聚合接口</x:v>
      </x:c>
      <x:c r="I20" s="42" t="str">
        <x:v>现有leads字段/JSONB；是否新增字典、关联表或tags JSONB待确认</x:v>
      </x:c>
      <x:c r="J20" s="42" t="str">
        <x:v>src/pages/SourcingPage.tsx；src/types/index.ts；src/store/useAppStore.ts；server/src/routes/meta.ts；server/src/services/aiSummaryService.ts；server/src/db/schema.ts</x:v>
      </x:c>
      <x:c r="K20" s="51" t="str">
        <x:v>否</x:v>
      </x:c>
      <x:c r="L20" s="51" t="str">
        <x:v>是</x:v>
      </x:c>
      <x:c r="M20" s="51" t="str">
        <x:v>Q-POOL-012～Q-POOL-014</x:v>
      </x:c>
      <x:c r="N20" s="51" t="str">
        <x:v>中</x:v>
      </x:c>
      <x:c r="O20" s="51" t="str">
        <x:v>4～8人日，取决于动态字典、AI打标和历史回填</x:v>
      </x:c>
      <x:c r="P20" s="51" t="str">
        <x:v>待确认</x:v>
      </x:c>
      <x:c r="Q20" s="43" t="str">
        <x:v>支撑POOL-003/005/010</x:v>
      </x:c>
    </x:row>
    <x:row r="21" ht="76" customHeight="1">
      <x:c r="A21" s="46" t="str">
        <x:v>POOL-005</x:v>
      </x:c>
      <x:c r="B21" s="47" t="str">
        <x:v>公共线索池</x:v>
      </x:c>
      <x:c r="C21" s="42" t="str">
        <x:v>项目增加标签</x:v>
      </x:c>
      <x:c r="D21" s="42" t="str">
        <x:v>为确认的业务对象增加可展示、筛选及必要时可编辑的标签，并定义线索转项目时的继承规则。</x:v>
      </x:c>
      <x:c r="E21" s="42" t="str">
        <x:v>projects.tags已存在；leads无通用tags，只有risk_tags。前端转项目会用行业和风险标签构造项目标签。</x:v>
      </x:c>
      <x:c r="F21" s="42" t="str">
        <x:v>明确标签对象、分类、来源、权限、筛选、继承和历史策略。</x:v>
      </x:c>
      <x:c r="G21" s="42" t="str">
        <x:v>/sourcing；可能关联/projects、/projects/:id、/system</x:v>
      </x:c>
      <x:c r="H21" s="42" t="str">
        <x:v>leads查询/详情/convert；项目CRUD；可能新增PATCH /api/leads/:id及标签字典接口</x:v>
      </x:c>
      <x:c r="I21" s="42" t="str">
        <x:v>已有projects.tags、leads.risk_tags；公共线索通用标签可能需leads.tags或关系表</x:v>
      </x:c>
      <x:c r="J21" s="42" t="str">
        <x:v>src/pages/SourcingPage.tsx；src/pages/ProjectsPage.tsx；src/pages/ProjectDetailPage.tsx；src/store/useAppStore.ts；src/types/index.ts；server/src/db/schema.ts；server/src/routes/meta.ts</x:v>
      </x:c>
      <x:c r="K21" s="51" t="str">
        <x:v>否</x:v>
      </x:c>
      <x:c r="L21" s="51" t="str">
        <x:v>是</x:v>
      </x:c>
      <x:c r="M21" s="51" t="str">
        <x:v>Q-POOL-015～Q-POOL-017</x:v>
      </x:c>
      <x:c r="N21" s="51" t="str">
        <x:v>中</x:v>
      </x:c>
      <x:c r="O21" s="51" t="str">
        <x:v>派生展示1～2人日；持久化标签3～6人日；含字典/审计/回填5～9人日</x:v>
      </x:c>
      <x:c r="P21" s="51" t="str">
        <x:v>待确认</x:v>
      </x:c>
      <x:c r="Q21" s="43" t="str">
        <x:v>可能替代部分筛选；影响POOL-003/010</x:v>
      </x:c>
    </x:row>
    <x:row r="22" ht="76" customHeight="1">
      <x:c r="A22" s="46" t="str">
        <x:v>POOL-006</x:v>
      </x:c>
      <x:c r="B22" s="47" t="str">
        <x:v>公共线索池</x:v>
      </x:c>
      <x:c r="C22" s="42" t="str">
        <x:v>取消渠道字段</x:v>
      </x:c>
      <x:c r="D22" s="42" t="str">
        <x:v>按确认范围取消渠道；分别确定列表列、筛选器、二级来源、接口参数和底层来源数据。</x:v>
      </x:c>
      <x:c r="E22" s="42" t="str">
        <x:v>列表展示lead.channel；筛选有渠道及依赖渠道的二级来源。后端从radar_profile.channel返回/过滤，来源证据仍依赖来源数据。</x:v>
      </x:c>
      <x:c r="F22" s="42" t="str">
        <x:v>移除不需要的展示/筛选，同时不破坏采集、来源追溯和质量分析。</x:v>
      </x:c>
      <x:c r="G22" s="42" t="str">
        <x:v>/sourcing列表、筛选、雷达情报与来源证据</x:v>
      </x:c>
      <x:c r="H22" s="42" t="str">
        <x:v>GET /api/leads?channel=&amp;source=；POST /api/leads/sync-radar；Radar GET /api/candidates</x:v>
      </x:c>
      <x:c r="I22" s="42" t="str">
        <x:v>leads.source、leads.sources、leads.radar_profile.channel/sourceName/sourceGroup；无独立channel列</x:v>
      </x:c>
      <x:c r="J22" s="42" t="str">
        <x:v>src/pages/SourcingPage.tsx；src/types/index.ts；src/store/useAppStore.ts；server/src/routes/meta.ts；server/src/services/aiSummaryService.ts；project-discovery/app.py</x:v>
      </x:c>
      <x:c r="K22" s="51" t="str">
        <x:v>否</x:v>
      </x:c>
      <x:c r="L22" s="51" t="str">
        <x:v>是</x:v>
      </x:c>
      <x:c r="M22" s="51" t="str">
        <x:v>Q-POOL-018～Q-POOL-019</x:v>
      </x:c>
      <x:c r="N22" s="51" t="str">
        <x:v>中</x:v>
      </x:c>
      <x:c r="O22" s="51" t="str">
        <x:v>仅隐藏列0.5人日；筛选/类型1～2人日；底层来源调整2～4人日以上</x:v>
      </x:c>
      <x:c r="P22" s="51" t="str">
        <x:v>待确认</x:v>
      </x:c>
      <x:c r="Q22" s="43" t="str">
        <x:v>影响POOL-008/010列表空间与来源追溯</x:v>
      </x:c>
    </x:row>
    <x:row r="23" ht="76" customHeight="1">
      <x:c r="A23" s="46" t="str">
        <x:v>POOL-007</x:v>
      </x:c>
      <x:c r="B23" s="47" t="str">
        <x:v>公共线索池</x:v>
      </x:c>
      <x:c r="C23" s="42" t="str">
        <x:v>融资信息字段改为估值</x:v>
      </x:c>
      <x:c r="D23" s="42" t="str">
        <x:v>将列表融资信息替换为按确认口径选取的估值，并区分未披露、待核验和无数据。</x:v>
      </x:c>
      <x:c r="E23" s="42" t="str">
        <x:v>列表渲染lead.financing；估值分散在funding_rounds、radar_profile.profile.latestValuation、scoring融资研究中；leads无独立valuation。</x:v>
      </x:c>
      <x:c r="F23" s="42" t="str">
        <x:v>统一来源优先级、轮次、投前/投后、币种、单位、日期和缺失状态；需要时支持数值筛选/排序。</x:v>
      </x:c>
      <x:c r="G23" s="42" t="str">
        <x:v>/sourcing列表、项目概览、股权融资、线索转项目</x:v>
      </x:c>
      <x:c r="H23" s="42" t="str">
        <x:v>GET /api/leads；GET /api/leads/:id；POST /api/leads/sync-radar；POST /api/leads/:id/convert；Radar GET /api/candidates</x:v>
      </x:c>
      <x:c r="I23" s="42" t="str">
        <x:v>leads.funding_rounds、radar_profile、scoring；projects.valuation；是否新增leads.valuation待确认</x:v>
      </x:c>
      <x:c r="J23" s="42" t="str">
        <x:v>src/pages/SourcingPage.tsx；src/types/index.ts；src/store/useAppStore.ts；server/src/routes/meta.ts；server/src/services/aiSummaryService.ts；server/src/db/schema.ts；project-discovery/app.py</x:v>
      </x:c>
      <x:c r="K23" s="51" t="str">
        <x:v>否</x:v>
      </x:c>
      <x:c r="L23" s="51" t="str">
        <x:v>是</x:v>
      </x:c>
      <x:c r="M23" s="51" t="str">
        <x:v>Q-POOL-020～Q-POOL-022</x:v>
      </x:c>
      <x:c r="N23" s="51" t="str">
        <x:v>中</x:v>
      </x:c>
      <x:c r="O23" s="51" t="str">
        <x:v>现有字段展示1～2人日；结构化字段/迁移/回填4～7人日；币种归一另加2～4人日</x:v>
      </x:c>
      <x:c r="P23" s="51" t="str">
        <x:v>待确认</x:v>
      </x:c>
      <x:c r="Q23" s="43" t="str">
        <x:v>依赖POOL-001/002数据及时性；影响POOL-008/010</x:v>
      </x:c>
    </x:row>
    <x:row r="24" ht="76" customHeight="1">
      <x:c r="A24" s="46" t="str">
        <x:v>POOL-008</x:v>
      </x:c>
      <x:c r="B24" s="47" t="str">
        <x:v>公共线索池</x:v>
      </x:c>
      <x:c r="C24" s="42" t="str">
        <x:v>公司主体列表重新调整布局</x:v>
      </x:c>
      <x:c r="D24" s="42" t="str">
        <x:v>在标签、渠道、估值和核心字段确认后，统一调整列顺序、宽度、间距、行高和响应式策略。</x:v>
      </x:c>
      <x:c r="E24" s="42" t="str">
        <x:v>表格含公司/主体、渠道、行业/地区、线索来源、融资信息、完整度、AI评分、操作8列，支持横向滚动。</x:v>
      </x:c>
      <x:c r="F24" s="42" t="str">
        <x:v>提升首屏有效信息密度和可读性，在目标分辨率下保持操作可用。</x:v>
      </x:c>
      <x:c r="G24" s="42" t="str">
        <x:v>/sourcing</x:v>
      </x:c>
      <x:c r="H24" s="42" t="str">
        <x:v>纯布局不改接口；新增字段时涉及GET /api/leads</x:v>
      </x:c>
      <x:c r="I24" s="42" t="str">
        <x:v>纯布局无变更；字段由POOL-004/005/007决定</x:v>
      </x:c>
      <x:c r="J24" s="42" t="str">
        <x:v>src/pages/SourcingPage.tsx；src/components/ui.tsx</x:v>
      </x:c>
      <x:c r="K24" s="51" t="str">
        <x:v>否</x:v>
      </x:c>
      <x:c r="L24" s="51" t="str">
        <x:v>是</x:v>
      </x:c>
      <x:c r="M24" s="51" t="str">
        <x:v>Q-POOL-023～Q-POOL-024</x:v>
      </x:c>
      <x:c r="N24" s="51" t="str">
        <x:v>中</x:v>
      </x:c>
      <x:c r="O24" s="51" t="str">
        <x:v>设计明确后1～3人日；完整响应式另加1～2人日</x:v>
      </x:c>
      <x:c r="P24" s="51" t="str">
        <x:v>待确认</x:v>
      </x:c>
      <x:c r="Q24" s="43" t="str">
        <x:v>父需求：POOL-006/007/009/010</x:v>
      </x:c>
    </x:row>
    <x:row r="25" ht="76" customHeight="1">
      <x:c r="A25" s="46" t="str">
        <x:v>POOL-009</x:v>
      </x:c>
      <x:c r="B25" s="47" t="str">
        <x:v>公共线索池</x:v>
      </x:c>
      <x:c r="C25" s="42" t="str">
        <x:v>缩短公司名称</x:v>
      </x:c>
      <x:c r="D25" s="42" t="str">
        <x:v>按确认规则缩短列表名称，同时保留完整主体名称可访问性，且不改变去重标识。</x:v>
      </x:c>
      <x:c r="E25" s="42" t="str">
        <x:v>显示优先级为scoring.projectName &gt; radarProfile projectName &gt; companyName &gt; name；主名称无明确截断；无short_name/display_name。</x:v>
      </x:c>
      <x:c r="F25" s="42" t="str">
        <x:v>在视觉截断、去公司后缀或正式简称中选定规则，并定义完整名称查看方式。</x:v>
      </x:c>
      <x:c r="G25" s="42" t="str">
        <x:v>/sourcing；正式简称可能影响详情和搜索</x:v>
      </x:c>
      <x:c r="H25" s="42" t="str">
        <x:v>视觉截断不改接口；正式简称涉及查询、创建、同步和更新接口</x:v>
      </x:c>
      <x:c r="I25" s="42" t="str">
        <x:v>leads.name、leads.company_name；当前无简称字段</x:v>
      </x:c>
      <x:c r="J25" s="42" t="str">
        <x:v>src/pages/SourcingPage.tsx；src/types/index.ts；server/src/services/aiSummaryService.ts；server/src/routes/meta.ts；server/src/db/schema.ts</x:v>
      </x:c>
      <x:c r="K25" s="51" t="str">
        <x:v>否</x:v>
      </x:c>
      <x:c r="L25" s="51" t="str">
        <x:v>是</x:v>
      </x:c>
      <x:c r="M25" s="51" t="str">
        <x:v>Q-POOL-025～Q-POOL-026</x:v>
      </x:c>
      <x:c r="N25" s="51" t="str">
        <x:v>中</x:v>
      </x:c>
      <x:c r="O25" s="51" t="str">
        <x:v>视觉截断0.5～1人日；正式简称字段及回填3～5人日</x:v>
      </x:c>
      <x:c r="P25" s="51" t="str">
        <x:v>待确认</x:v>
      </x:c>
      <x:c r="Q25" s="43" t="str">
        <x:v>影响POOL-008/010；禁止直接改去重名称</x:v>
      </x:c>
    </x:row>
    <x:row r="26" ht="76" customHeight="1">
      <x:c r="A26" s="46" t="str">
        <x:v>POOL-010</x:v>
      </x:c>
      <x:c r="B26" s="47" t="str">
        <x:v>公共线索池</x:v>
      </x:c>
      <x:c r="C26" s="42" t="str">
        <x:v>利用更多列表空间展示核心信息</x:v>
      </x:c>
      <x:c r="D26" s="42" t="str">
        <x:v>利用取消/压缩后的空间展示确认的核心判断信息及优先级。</x:v>
      </x:c>
      <x:c r="E26" s="42" t="str">
        <x:v>列表已有行业/地区、来源、融资、完整度和评分；详情有画像、估值、团队、融资和证据，但核心信息未定义。</x:v>
      </x:c>
      <x:c r="F26" s="42" t="str">
        <x:v>在首屏展示最有助于判断与筛选的信息，避免拥挤和口径不一致。</x:v>
      </x:c>
      <x:c r="G26" s="42" t="str">
        <x:v>/sourcing</x:v>
      </x:c>
      <x:c r="H26" s="42" t="str">
        <x:v>取决于字段，可能扩展GET /api/leads轻量列表返回</x:v>
      </x:c>
      <x:c r="I26" s="42" t="str">
        <x:v>取决于字段，可能来自leads标量、scoring、radar_profile、funding_rounds或新增标签/估值</x:v>
      </x:c>
      <x:c r="J26" s="42" t="str">
        <x:v>src/pages/SourcingPage.tsx；src/store/useAppStore.ts；src/types/index.ts；server/src/services/aiSummaryService.ts</x:v>
      </x:c>
      <x:c r="K26" s="51" t="str">
        <x:v>否</x:v>
      </x:c>
      <x:c r="L26" s="51" t="str">
        <x:v>是</x:v>
      </x:c>
      <x:c r="M26" s="51" t="str">
        <x:v>Q-POOL-027</x:v>
      </x:c>
      <x:c r="N26" s="51" t="str">
        <x:v>中</x:v>
      </x:c>
      <x:c r="O26" s="51" t="str">
        <x:v>2～4人日，不含标签和估值底层改造</x:v>
      </x:c>
      <x:c r="P26" s="51" t="str">
        <x:v>待确认</x:v>
      </x:c>
      <x:c r="Q26" s="43" t="str">
        <x:v>依赖POOL-004/006/007/008/009</x:v>
      </x:c>
    </x:row>
  </x:sheetData>
  <x:mergeCells>
    <x:mergeCell ref="A1:Q1"/>
    <x:mergeCell ref="A3:Q3"/>
  </x:mergeCells>
  <x:conditionalFormatting sqref="N6:N26">
    <x:cfRule type="expression" dxfId="0" priority="1">
      <x:formula>$N6="高"</x:formula>
    </x:cfRule>
    <x:cfRule type="expression" dxfId="1" priority="2">
      <x:formula>$N6="中"</x:formula>
    </x:cfRule>
  </x:conditionalFormatting>
  <x:conditionalFormatting sqref="L6:L26">
    <x:cfRule type="expression" dxfId="2" priority="3">
      <x:formula>$L6="是"</x:formula>
    </x:cfRule>
  </x:conditionalFormatting>
  <x:conditionalFormatting sqref="P6:P26">
    <x:cfRule type="expression" dxfId="3" priority="4">
      <x:formula>$P6="可先诊断"</x:formula>
    </x:cfRule>
  </x:conditionalFormatting>
  <x:dataValidations count="4">
    <x:dataValidation type="list" sqref="K6:K26">
      <x:formula1>"否,可先诊断,确认后可开发,是"</x:formula1>
    </x:dataValidation>
    <x:dataValidation type="list" sqref="L6:L26">
      <x:formula1>"是,否"</x:formula1>
    </x:dataValidation>
    <x:dataValidation type="list" sqref="N6:N26">
      <x:formula1>"低,中,高"</x:formula1>
    </x:dataValidation>
    <x:dataValidation type="list" sqref="P6:P26">
      <x:formula1>"待确认,可先诊断,已确认,开发中,已完成,已取消"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d5353a61ae2442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3" hidden="0" customWidth="1"/>
    <x:col min="3" max="3" width="15" hidden="0" customWidth="1"/>
    <x:col min="4" max="4" width="20" hidden="0" customWidth="1"/>
    <x:col min="5" max="5" width="31" hidden="0" customWidth="1"/>
    <x:col min="6" max="6" width="30" hidden="0" customWidth="1"/>
    <x:col min="7" max="7" width="38" hidden="0" customWidth="1"/>
    <x:col min="8" max="8" width="27" hidden="0" customWidth="1"/>
  </x:cols>
  <x:sheetData>
    <x:row r="1" ht="34" customHeight="1">
      <x:c r="A1" s="4" t="str">
        <x:v>需求—模块—代码映射</x:v>
      </x:c>
      <x:c r="B1" s="4" t="str">
        <x:v>需求—模块—代码映射</x:v>
      </x:c>
      <x:c r="C1" s="4" t="str">
        <x:v>需求—模块—代码映射</x:v>
      </x:c>
      <x:c r="D1" s="4" t="str">
        <x:v>需求—模块—代码映射</x:v>
      </x:c>
      <x:c r="E1" s="4" t="str">
        <x:v>需求—模块—代码映射</x:v>
      </x:c>
      <x:c r="F1" s="4" t="str">
        <x:v>需求—模块—代码映射</x:v>
      </x:c>
      <x:c r="G1" s="4" t="str">
        <x:v>需求—模块—代码映射</x:v>
      </x:c>
      <x:c r="H1" s="4" t="str">
        <x:v>需求—模块—代码映射</x:v>
      </x:c>
    </x:row>
    <x:row r="2">
      <x:c r="A2" s="18" t="str">
        <x:v>用于评审时快速定位页面、接口、数据库/存储和代码范围；“待确认”不代表无法开展只读诊断。</x:v>
      </x:c>
      <x:c r="B2" s="18"/>
      <x:c r="C2" s="18"/>
      <x:c r="D2" s="18"/>
      <x:c r="E2" s="18"/>
      <x:c r="F2" s="18"/>
      <x:c r="G2" s="18"/>
      <x:c r="H2" s="18"/>
    </x:row>
    <x:row r="4" ht="34" customHeight="1">
      <x:c r="A4" s="24" t="str">
        <x:v>需求编号</x:v>
      </x:c>
      <x:c r="B4" s="24" t="str">
        <x:v>需求名称</x:v>
      </x:c>
      <x:c r="C4" s="24" t="str">
        <x:v>对应模块</x:v>
      </x:c>
      <x:c r="D4" s="24" t="str">
        <x:v>主要页面</x:v>
      </x:c>
      <x:c r="E4" s="24" t="str">
        <x:v>主要接口/外部服务</x:v>
      </x:c>
      <x:c r="F4" s="24" t="str">
        <x:v>数据库/存储</x:v>
      </x:c>
      <x:c r="G4" s="24" t="str">
        <x:v>核心代码位置</x:v>
      </x:c>
      <x:c r="H4" s="24" t="str">
        <x:v>当前结论</x:v>
      </x:c>
    </x:row>
    <x:row r="5" ht="66" customHeight="1">
      <x:c r="A5" s="44" t="str">
        <x:v>AI-001</x:v>
      </x:c>
      <x:c r="B5" s="39" t="str">
        <x:v>PPT变成可编辑版本</x:v>
      </x:c>
      <x:c r="C5" s="39" t="str">
        <x:v>AI智能助手</x:v>
      </x:c>
      <x:c r="D5" s="39" t="str">
        <x:v>/ai；是否包含/materials待确认</x:v>
      </x:c>
      <x:c r="E5" s="39" t="str">
        <x:v>/ai/api/agents/assistant/:conversationId；POST /api/materials/generate；POST /api/materials/generate-internal；workspace文件接口</x:v>
      </x:c>
      <x:c r="F5" s="39" t="str">
        <x:v>读取projects、project_files、knowledge_chunks、ai_summaries；当前无材料任务/文件版本表；产物落文件系统</x:v>
      </x:c>
      <x:c r="G5" s="39" t="str">
        <x:v>src/pages/AIAssistantPage.tsx；src/pages/MaterialsPage.tsx；server/src/services/materialService.ts；server/src/routes/workspace.ts；project-discovery/GordenSuperPPTSkills/</x:v>
      </x:c>
      <x:c r="H5" s="40" t="str">
        <x:v>待确认；风险高；AI-009依赖；外部Flue在仓库外</x:v>
      </x:c>
    </x:row>
    <x:row r="6" ht="66" customHeight="1">
      <x:c r="A6" s="46" t="str">
        <x:v>AI-002</x:v>
      </x:c>
      <x:c r="B6" s="42" t="str">
        <x:v>聊天输入时会自动发送（疑似Enter或输入框Bug）</x:v>
      </x:c>
      <x:c r="C6" s="42" t="str">
        <x:v>AI智能助手</x:v>
      </x:c>
      <x:c r="D6" s="42" t="str">
        <x:v>/ai输入框与快捷建议</x:v>
      </x:c>
      <x:c r="E6" s="42" t="str">
        <x:v>/ai/api/agents/assistant/:conversationId</x:v>
      </x:c>
      <x:c r="F6" s="42" t="str">
        <x:v>无直接结构变更；chat_conversations仅存索引，消息正文由Flue保存</x:v>
      </x:c>
      <x:c r="G6" s="42" t="str">
        <x:v>src/pages/AIAssistantPage.tsx；vite.config.ts；外部Flue SDK</x:v>
      </x:c>
      <x:c r="H6" s="43" t="str">
        <x:v>可先诊断；风险中；会影响AI-006快捷入口点击行为</x:v>
      </x:c>
    </x:row>
    <x:row r="7" ht="66" customHeight="1">
      <x:c r="A7" s="46" t="str">
        <x:v>AI-003</x:v>
      </x:c>
      <x:c r="B7" s="42" t="str">
        <x:v>每次选择“智灵动力”模型，希望默认固定</x:v>
      </x:c>
      <x:c r="C7" s="42" t="str">
        <x:v>AI智能助手</x:v>
      </x:c>
      <x:c r="D7" s="42" t="str">
        <x:v>/ai顶部选择区</x:v>
      </x:c>
      <x:c r="E7" s="42" t="str">
        <x:v>若指项目：GET /api/projects；若指模型：外部Flue/模型配置；当前无用户偏好API</x:v>
      </x:c>
      <x:c r="F7" s="42" t="str">
        <x:v>projects、chat_conversations；当前无user_preferences表</x:v>
      </x:c>
      <x:c r="G7" s="42" t="str">
        <x:v>src/pages/AIAssistantPage.tsx；src/store/useAppStore.ts；server/src/db/schema.ts；外部Flue配置</x:v>
      </x:c>
      <x:c r="H7" s="43" t="str">
        <x:v>待确认；风险中；决定AI-006～AI-011使用的项目/模型上下文</x:v>
      </x:c>
    </x:row>
    <x:row r="8" ht="66" customHeight="1">
      <x:c r="A8" s="46" t="str">
        <x:v>AI-004</x:v>
      </x:c>
      <x:c r="B8" s="42" t="str">
        <x:v>AI生成结束后页面偶尔出现白屏</x:v>
      </x:c>
      <x:c r="C8" s="42" t="str">
        <x:v>AI智能助手</x:v>
      </x:c>
      <x:c r="D8" s="42" t="str">
        <x:v>/ai</x:v>
      </x:c>
      <x:c r="E8" s="42" t="str">
        <x:v>/ai/api/agents/assistant/:conversationId；POST /api/conversations/:id/summarize-title；GET /api/workspace?path=</x:v>
      </x:c>
      <x:c r="F8" s="42" t="str">
        <x:v>chat_conversations；完整消息在Flue；当前无前端崩溃事件表</x:v>
      </x:c>
      <x:c r="G8" s="42" t="str">
        <x:v>src/pages/AIAssistantPage.tsx；src/App.tsx；src/main.tsx；server/src/routes/conversations.ts；server/src/routes/workspace.ts</x:v>
      </x:c>
      <x:c r="H8" s="43" t="str">
        <x:v>可先诊断；风险高；PPT和大型工具输出扩展前宜优先处理</x:v>
      </x:c>
    </x:row>
    <x:row r="9" ht="66" customHeight="1">
      <x:c r="A9" s="46" t="str">
        <x:v>AI-005</x:v>
      </x:c>
      <x:c r="B9" s="42" t="str">
        <x:v>右侧文件区域保留有用功能，删除无用功能</x:v>
      </x:c>
      <x:c r="C9" s="42" t="str">
        <x:v>AI智能助手</x:v>
      </x:c>
      <x:c r="D9" s="42" t="str">
        <x:v>/ai右侧栏与文件预览</x:v>
      </x:c>
      <x:c r="E9" s="42" t="str">
        <x:v>GET /api/workspace?path=；GET /api/workspace/file?path=&amp;download=1；POST /api/workspace/file</x:v>
      </x:c>
      <x:c r="F9" s="42" t="str">
        <x:v>当前无；若需归属、归档、审计，需元数据设计或目录协议</x:v>
      </x:c>
      <x:c r="G9" s="42" t="str">
        <x:v>src/pages/AIAssistantPage.tsx；server/src/routes/workspace.ts</x:v>
      </x:c>
      <x:c r="H9" s="43" t="str">
        <x:v>待确认；风险中；是AI-007～AI-010产物交付区</x:v>
      </x:c>
    </x:row>
    <x:row r="10" ht="66" customHeight="1">
      <x:c r="A10" s="46" t="str">
        <x:v>AI-006</x:v>
      </x:c>
      <x:c r="B10" s="42" t="str">
        <x:v>聊天框顶部增加快捷入口</x:v>
      </x:c>
      <x:c r="C10" s="42" t="str">
        <x:v>AI智能助手</x:v>
      </x:c>
      <x:c r="D10" s="42" t="str">
        <x:v>/ai</x:v>
      </x:c>
      <x:c r="E10" s="42" t="str">
        <x:v>简单Prompt复用Flue Agent；正式任务可能涉及materials、internal/search-docs和workspace接口</x:v>
      </x:c>
      <x:c r="F10" s="42" t="str">
        <x:v>简单按钮无需新增；当前无快捷入口配置、Prompt模板或任务表</x:v>
      </x:c>
      <x:c r="G10" s="42" t="str">
        <x:v>src/pages/AIAssistantPage.tsx；server/src/routes/internal.ts；server/src/routes/index.ts；server/src/routes/workspace.ts</x:v>
      </x:c>
      <x:c r="H10" s="43" t="str">
        <x:v>待确认；风险中；父需求：AI-007～AI-011；依赖AI-002/003/005</x:v>
      </x:c>
    </x:row>
    <x:row r="11" ht="66" customHeight="1">
      <x:c r="A11" s="46" t="str">
        <x:v>AI-007</x:v>
      </x:c>
      <x:c r="B11" s="42" t="str">
        <x:v>快捷入口：合规性说明</x:v>
      </x:c>
      <x:c r="C11" s="42" t="str">
        <x:v>AI智能助手</x:v>
      </x:c>
      <x:c r="D11" s="42" t="str">
        <x:v>/ai</x:v>
      </x:c>
      <x:c r="E11" s="42" t="str">
        <x:v>待确认；简单方案为/ai/api/agents/assistant/:conversationId</x:v>
      </x:c>
      <x:c r="F11" s="42" t="str">
        <x:v>可能读取projects、project_files、knowledge_chunks；是否保存产物待确认</x:v>
      </x:c>
      <x:c r="G11" s="42" t="str">
        <x:v>src/pages/AIAssistantPage.tsx；server/src/routes/internal.ts；外部Flue</x:v>
      </x:c>
      <x:c r="H11" s="43" t="str">
        <x:v>待确认；风险高；依赖AI-006；需法务确认</x:v>
      </x:c>
    </x:row>
    <x:row r="12" ht="66" customHeight="1">
      <x:c r="A12" s="46" t="str">
        <x:v>AI-008</x:v>
      </x:c>
      <x:c r="B12" s="42" t="str">
        <x:v>快捷入口：投资提案</x:v>
      </x:c>
      <x:c r="C12" s="42" t="str">
        <x:v>AI智能助手</x:v>
      </x:c>
      <x:c r="D12" s="42" t="str">
        <x:v>/ai；是否关联/materials待确认</x:v>
      </x:c>
      <x:c r="E12" s="42" t="str">
        <x:v>待确认；可能为Flue Agent或POST /api/materials/generate(-internal)</x:v>
      </x:c>
      <x:c r="F12" s="42" t="str">
        <x:v>可能读取projects、project_files、knowledge_chunks、ai_summaries；当前无任务/版本表</x:v>
      </x:c>
      <x:c r="G12" s="42" t="str">
        <x:v>src/pages/AIAssistantPage.tsx；src/pages/MaterialsPage.tsx；server/src/services/materialService.ts；server/src/routes/index.ts；外部Flue</x:v>
      </x:c>
      <x:c r="H12" s="43" t="str">
        <x:v>待确认；风险中；依赖AI-006</x:v>
      </x:c>
    </x:row>
    <x:row r="13" ht="66" customHeight="1">
      <x:c r="A13" s="46" t="str">
        <x:v>AI-009</x:v>
      </x:c>
      <x:c r="B13" s="42" t="str">
        <x:v>快捷入口：投资建议书（PPT）</x:v>
      </x:c>
      <x:c r="C13" s="42" t="str">
        <x:v>AI智能助手</x:v>
      </x:c>
      <x:c r="D13" s="42" t="str">
        <x:v>/ai；可能关联/materials</x:v>
      </x:c>
      <x:c r="E13" s="42" t="str">
        <x:v>Flue Agent；POST /api/materials/generate；POST /api/materials/generate-internal；workspace文件接口</x:v>
      </x:c>
      <x:c r="F13" s="42" t="str">
        <x:v>读取项目与知识库相关表；当前无材料任务/版本表</x:v>
      </x:c>
      <x:c r="G13" s="42" t="str">
        <x:v>src/pages/AIAssistantPage.tsx；src/pages/MaterialsPage.tsx；server/src/services/materialService.ts；server/src/routes/index.ts；project-discovery/GordenSuperPPTSkills/；外部Flue</x:v>
      </x:c>
      <x:c r="H13" s="43" t="str">
        <x:v>待确认；风险高；依赖AI-001、AI-006</x:v>
      </x:c>
    </x:row>
    <x:row r="14" ht="66" customHeight="1">
      <x:c r="A14" s="46" t="str">
        <x:v>AI-010</x:v>
      </x:c>
      <x:c r="B14" s="42" t="str">
        <x:v>快捷入口：尽调报告</x:v>
      </x:c>
      <x:c r="C14" s="42" t="str">
        <x:v>AI智能助手</x:v>
      </x:c>
      <x:c r="D14" s="42" t="str">
        <x:v>/ai</x:v>
      </x:c>
      <x:c r="E14" s="42" t="str">
        <x:v>Flue Agent；可能涉及POST /api/internal/search-docs和workspace文件接口</x:v>
      </x:c>
      <x:c r="F14" s="42" t="str">
        <x:v>projects、project_files、knowledge_chunks、ai_summaries；是否新增任务/版本表待确认</x:v>
      </x:c>
      <x:c r="G14" s="42" t="str">
        <x:v>src/pages/AIAssistantPage.tsx；server/src/routes/internal.ts；server/src/services/ragService.ts；server/src/routes/workspace.ts；外部Flue</x:v>
      </x:c>
      <x:c r="H14" s="43" t="str">
        <x:v>待确认；风险高；依赖AI-006；需业务/法务确认</x:v>
      </x:c>
    </x:row>
    <x:row r="15" ht="66" customHeight="1">
      <x:c r="A15" s="46" t="str">
        <x:v>AI-011</x:v>
      </x:c>
      <x:c r="B15" s="42" t="str">
        <x:v>快捷入口：Q&amp;A</x:v>
      </x:c>
      <x:c r="C15" s="42" t="str">
        <x:v>AI智能助手</x:v>
      </x:c>
      <x:c r="D15" s="42" t="str">
        <x:v>/ai</x:v>
      </x:c>
      <x:c r="E15" s="42" t="str">
        <x:v>待确认；可能复用/ai/api/agents/assistant/:conversationId</x:v>
      </x:c>
      <x:c r="F15" s="42" t="str">
        <x:v>简单问答无新增；若为问题库，当前无相应表</x:v>
      </x:c>
      <x:c r="G15" s="42" t="str">
        <x:v>src/pages/AIAssistantPage.tsx；server/src/routes/internal.ts；外部Flue</x:v>
      </x:c>
      <x:c r="H15" s="43" t="str">
        <x:v>待确认；风险中；依赖AI-006</x:v>
      </x:c>
    </x:row>
    <x:row r="16" ht="66" customHeight="1">
      <x:c r="A16" s="46" t="str">
        <x:v>POOL-001</x:v>
      </x:c>
      <x:c r="B16" s="42" t="str">
        <x:v>数据更新速度慢</x:v>
      </x:c>
      <x:c r="C16" s="42" t="str">
        <x:v>公共线索池</x:v>
      </x:c>
      <x:c r="D16" s="42" t="str">
        <x:v>/sourcing；是否在系统首页/Radar管理页展示状态待确认</x:v>
      </x:c>
      <x:c r="E16" s="42" t="str">
        <x:v>POST /api/leads/sync-radar；GET /api/leads；GET /api/leads/stats；POST/GET /api/leads/:id/score；Radar GET /api/candidates及采集接口</x:v>
      </x:c>
      <x:c r="F16" s="42" t="str">
        <x:v>leads；当前未见updated_at、last_synced_at、来源唯一键和同步失败状态；Radar原始数据位于project-discovery/data/</x:v>
      </x:c>
      <x:c r="G16" s="42" t="str">
        <x:v>src/pages/SourcingPage.tsx；src/store/useAppStore.ts；server/src/routes/meta.ts；server/src/services/aiSummaryService.ts；server/src/db/schema.ts；project-discovery/app.py</x:v>
      </x:c>
      <x:c r="H16" s="43" t="str">
        <x:v>可先诊断；风险高；POOL-002/004/005/007的数据基础</x:v>
      </x:c>
    </x:row>
    <x:row r="17" ht="66" customHeight="1">
      <x:c r="A17" s="46" t="str">
        <x:v>POOL-002</x:v>
      </x:c>
      <x:c r="B17" s="42" t="str">
        <x:v>部分数据没有更新</x:v>
      </x:c>
      <x:c r="C17" s="42" t="str">
        <x:v>公共线索池</x:v>
      </x:c>
      <x:c r="D17" s="42" t="str">
        <x:v>/sourcing；可能增加更新状态与历史</x:v>
      </x:c>
      <x:c r="E17" s="42" t="str">
        <x:v>POST /api/leads/sync-radar；GET /api/leads/:id；Radar GET /api/candidates；可能新增历史/重试接口</x:v>
      </x:c>
      <x:c r="F17" s="42" t="str">
        <x:v>leads；可能需来源唯一键、updated_at、last_synced_at、版本/历史或同步任务表</x:v>
      </x:c>
      <x:c r="G17" s="42" t="str">
        <x:v>server/src/routes/meta.ts；server/src/services/aiSummaryService.ts；server/src/db/schema.ts；src/pages/SourcingPage.tsx；project-discovery/app.py</x:v>
      </x:c>
      <x:c r="H17" s="43" t="str">
        <x:v>待确认；风险高；依赖POOL-001口径；支撑估值/标签及时性</x:v>
      </x:c>
    </x:row>
    <x:row r="18" ht="66" customHeight="1">
      <x:c r="A18" s="46" t="str">
        <x:v>POOL-003</x:v>
      </x:c>
      <x:c r="B18" s="42" t="str">
        <x:v>首页改成标签形式</x:v>
      </x:c>
      <x:c r="C18" s="42" t="str">
        <x:v>公共线索池</x:v>
      </x:c>
      <x:c r="D18" s="42" t="str">
        <x:v>可能为/sourcing；也可能为系统/，当前不确定</x:v>
      </x:c>
      <x:c r="E18" s="42" t="str">
        <x:v>GET /api/leads；GET /api/leads/stats；可能扩展维度聚合接口</x:v>
      </x:c>
      <x:c r="F18" s="42" t="str">
        <x:v>取决于标签定义，可能读取leads现有字段/JSONB或新增标签字段</x:v>
      </x:c>
      <x:c r="G18" s="42" t="str">
        <x:v>src/pages/SourcingPage.tsx；src/pages/DashboardPage.tsx；src/store/useAppStore.ts；server/src/routes/meta.ts；server/src/services/aiSummaryService.ts</x:v>
      </x:c>
      <x:c r="H18" s="43" t="str">
        <x:v>待确认；风险中；依赖POOL-004/005定义</x:v>
      </x:c>
    </x:row>
    <x:row r="19" ht="66" customHeight="1">
      <x:c r="A19" s="46" t="str">
        <x:v>POOL-004</x:v>
      </x:c>
      <x:c r="B19" s="42" t="str">
        <x:v>提供几个核心维度</x:v>
      </x:c>
      <x:c r="C19" s="42" t="str">
        <x:v>公共线索池</x:v>
      </x:c>
      <x:c r="D19" s="42" t="str">
        <x:v>/sourcing；如需字典管理可能关联/system</x:v>
      </x:c>
      <x:c r="E19" s="42" t="str">
        <x:v>GET /api/leads；GET /api/leads/stats；可能新增标签/维度字典及聚合接口</x:v>
      </x:c>
      <x:c r="F19" s="42" t="str">
        <x:v>现有leads字段/JSONB；是否新增字典、关联表或tags JSONB待确认</x:v>
      </x:c>
      <x:c r="G19" s="42" t="str">
        <x:v>src/pages/SourcingPage.tsx；src/types/index.ts；src/store/useAppStore.ts；server/src/routes/meta.ts；server/src/services/aiSummaryService.ts；server/src/db/schema.ts</x:v>
      </x:c>
      <x:c r="H19" s="43" t="str">
        <x:v>待确认；风险中；支撑POOL-003/005/010</x:v>
      </x:c>
    </x:row>
    <x:row r="20" ht="66" customHeight="1">
      <x:c r="A20" s="46" t="str">
        <x:v>POOL-005</x:v>
      </x:c>
      <x:c r="B20" s="42" t="str">
        <x:v>项目增加标签</x:v>
      </x:c>
      <x:c r="C20" s="42" t="str">
        <x:v>公共线索池</x:v>
      </x:c>
      <x:c r="D20" s="42" t="str">
        <x:v>/sourcing；可能关联/projects、/projects/:id、/system</x:v>
      </x:c>
      <x:c r="E20" s="42" t="str">
        <x:v>leads查询/详情/convert；项目CRUD；可能新增PATCH /api/leads/:id及标签字典接口</x:v>
      </x:c>
      <x:c r="F20" s="42" t="str">
        <x:v>已有projects.tags、leads.risk_tags；公共线索通用标签可能需leads.tags或关系表</x:v>
      </x:c>
      <x:c r="G20" s="42" t="str">
        <x:v>src/pages/SourcingPage.tsx；src/pages/ProjectsPage.tsx；src/pages/ProjectDetailPage.tsx；src/store/useAppStore.ts；src/types/index.ts；server/src/db/schema.ts；server/src/routes/meta.ts</x:v>
      </x:c>
      <x:c r="H20" s="43" t="str">
        <x:v>待确认；风险中；可能替代部分筛选；影响POOL-003/010</x:v>
      </x:c>
    </x:row>
    <x:row r="21" ht="66" customHeight="1">
      <x:c r="A21" s="46" t="str">
        <x:v>POOL-006</x:v>
      </x:c>
      <x:c r="B21" s="42" t="str">
        <x:v>取消渠道字段</x:v>
      </x:c>
      <x:c r="C21" s="42" t="str">
        <x:v>公共线索池</x:v>
      </x:c>
      <x:c r="D21" s="42" t="str">
        <x:v>/sourcing列表、筛选、雷达情报与来源证据</x:v>
      </x:c>
      <x:c r="E21" s="42" t="str">
        <x:v>GET /api/leads?channel=&amp;source=；POST /api/leads/sync-radar；Radar GET /api/candidates</x:v>
      </x:c>
      <x:c r="F21" s="42" t="str">
        <x:v>leads.source、leads.sources、leads.radar_profile.channel/sourceName/sourceGroup；无独立channel列</x:v>
      </x:c>
      <x:c r="G21" s="42" t="str">
        <x:v>src/pages/SourcingPage.tsx；src/types/index.ts；src/store/useAppStore.ts；server/src/routes/meta.ts；server/src/services/aiSummaryService.ts；project-discovery/app.py</x:v>
      </x:c>
      <x:c r="H21" s="43" t="str">
        <x:v>待确认；风险中；影响POOL-008/010列表空间与来源追溯</x:v>
      </x:c>
    </x:row>
    <x:row r="22" ht="66" customHeight="1">
      <x:c r="A22" s="46" t="str">
        <x:v>POOL-007</x:v>
      </x:c>
      <x:c r="B22" s="42" t="str">
        <x:v>融资信息字段改为估值</x:v>
      </x:c>
      <x:c r="C22" s="42" t="str">
        <x:v>公共线索池</x:v>
      </x:c>
      <x:c r="D22" s="42" t="str">
        <x:v>/sourcing列表、项目概览、股权融资、线索转项目</x:v>
      </x:c>
      <x:c r="E22" s="42" t="str">
        <x:v>GET /api/leads；GET /api/leads/:id；POST /api/leads/sync-radar；POST /api/leads/:id/convert；Radar GET /api/candidates</x:v>
      </x:c>
      <x:c r="F22" s="42" t="str">
        <x:v>leads.funding_rounds、radar_profile、scoring；projects.valuation；是否新增leads.valuation待确认</x:v>
      </x:c>
      <x:c r="G22" s="42" t="str">
        <x:v>src/pages/SourcingPage.tsx；src/types/index.ts；src/store/useAppStore.ts；server/src/routes/meta.ts；server/src/services/aiSummaryService.ts；server/src/db/schema.ts；project-discovery/app.py</x:v>
      </x:c>
      <x:c r="H22" s="43" t="str">
        <x:v>待确认；风险中；依赖POOL-001/002数据及时性；影响POOL-008/010</x:v>
      </x:c>
    </x:row>
    <x:row r="23" ht="66" customHeight="1">
      <x:c r="A23" s="46" t="str">
        <x:v>POOL-008</x:v>
      </x:c>
      <x:c r="B23" s="42" t="str">
        <x:v>公司主体列表重新调整布局</x:v>
      </x:c>
      <x:c r="C23" s="42" t="str">
        <x:v>公共线索池</x:v>
      </x:c>
      <x:c r="D23" s="42" t="str">
        <x:v>/sourcing</x:v>
      </x:c>
      <x:c r="E23" s="42" t="str">
        <x:v>纯布局不改接口；新增字段时涉及GET /api/leads</x:v>
      </x:c>
      <x:c r="F23" s="42" t="str">
        <x:v>纯布局无变更；字段由POOL-004/005/007决定</x:v>
      </x:c>
      <x:c r="G23" s="42" t="str">
        <x:v>src/pages/SourcingPage.tsx；src/components/ui.tsx</x:v>
      </x:c>
      <x:c r="H23" s="43" t="str">
        <x:v>待确认；风险中；父需求：POOL-006/007/009/010</x:v>
      </x:c>
    </x:row>
    <x:row r="24" ht="66" customHeight="1">
      <x:c r="A24" s="46" t="str">
        <x:v>POOL-009</x:v>
      </x:c>
      <x:c r="B24" s="42" t="str">
        <x:v>缩短公司名称</x:v>
      </x:c>
      <x:c r="C24" s="42" t="str">
        <x:v>公共线索池</x:v>
      </x:c>
      <x:c r="D24" s="42" t="str">
        <x:v>/sourcing；正式简称可能影响详情和搜索</x:v>
      </x:c>
      <x:c r="E24" s="42" t="str">
        <x:v>视觉截断不改接口；正式简称涉及查询、创建、同步和更新接口</x:v>
      </x:c>
      <x:c r="F24" s="42" t="str">
        <x:v>leads.name、leads.company_name；当前无简称字段</x:v>
      </x:c>
      <x:c r="G24" s="42" t="str">
        <x:v>src/pages/SourcingPage.tsx；src/types/index.ts；server/src/services/aiSummaryService.ts；server/src/routes/meta.ts；server/src/db/schema.ts</x:v>
      </x:c>
      <x:c r="H24" s="43" t="str">
        <x:v>待确认；风险中；影响POOL-008/010；禁止直接改去重名称</x:v>
      </x:c>
    </x:row>
    <x:row r="25" ht="66" customHeight="1">
      <x:c r="A25" s="46" t="str">
        <x:v>POOL-010</x:v>
      </x:c>
      <x:c r="B25" s="42" t="str">
        <x:v>利用更多列表空间展示核心信息</x:v>
      </x:c>
      <x:c r="C25" s="42" t="str">
        <x:v>公共线索池</x:v>
      </x:c>
      <x:c r="D25" s="42" t="str">
        <x:v>/sourcing</x:v>
      </x:c>
      <x:c r="E25" s="42" t="str">
        <x:v>取决于字段，可能扩展GET /api/leads轻量列表返回</x:v>
      </x:c>
      <x:c r="F25" s="42" t="str">
        <x:v>取决于字段，可能来自leads标量、scoring、radar_profile、funding_rounds或新增标签/估值</x:v>
      </x:c>
      <x:c r="G25" s="42" t="str">
        <x:v>src/pages/SourcingPage.tsx；src/store/useAppStore.ts；src/types/index.ts；server/src/services/aiSummaryService.ts</x:v>
      </x:c>
      <x:c r="H25" s="43" t="str">
        <x:v>待确认；风险中；依赖POOL-004/006/007/008/009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d965e5b14dfa408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8" hidden="0" customWidth="1"/>
    <x:col min="3" max="3" width="15" hidden="0" customWidth="1"/>
    <x:col min="4" max="4" width="48" hidden="0" customWidth="1"/>
    <x:col min="5" max="5" width="28" hidden="0" customWidth="1"/>
    <x:col min="6" max="6" width="19" hidden="0" customWidth="1"/>
    <x:col min="7" max="7" width="14" hidden="0" customWidth="1"/>
    <x:col min="8" max="8" width="12" hidden="0" customWidth="1"/>
  </x:cols>
  <x:sheetData>
    <x:row r="1" ht="34" customHeight="1">
      <x:c r="A1" s="4" t="str">
        <x:v>待确认问题</x:v>
      </x:c>
      <x:c r="B1" s="4" t="str">
        <x:v>待确认问题</x:v>
      </x:c>
      <x:c r="C1" s="4" t="str">
        <x:v>待确认问题</x:v>
      </x:c>
      <x:c r="D1" s="4" t="str">
        <x:v>待确认问题</x:v>
      </x:c>
      <x:c r="E1" s="4" t="str">
        <x:v>待确认问题</x:v>
      </x:c>
      <x:c r="F1" s="4" t="str">
        <x:v>待确认问题</x:v>
      </x:c>
      <x:c r="G1" s="4" t="str">
        <x:v>待确认问题</x:v>
      </x:c>
      <x:c r="H1" s="4" t="str">
        <x:v>待确认问题</x:v>
      </x:c>
    </x:row>
    <x:row r="2" ht="28" customHeight="1">
      <x:c r="A2" s="52" t="str">
        <x:v>问题总数</x:v>
      </x:c>
      <x:c r="B2" s="53" t="n">
        <x:f>COUNTA(A5:A55)</x:f>
        <x:v>51</x:v>
      </x:c>
      <x:c r="C2" s="53" t="str">
        <x:v>AI问题</x:v>
      </x:c>
      <x:c r="D2" s="53" t="n">
        <x:f>COUNTIF(C5:C55,"AI智能助手")</x:f>
        <x:v>24</x:v>
      </x:c>
      <x:c r="E2" s="53" t="str">
        <x:v>公共线索池问题</x:v>
      </x:c>
      <x:c r="F2" s="53" t="n">
        <x:f>COUNTIF(C5:C55,"公共线索池")</x:f>
        <x:v>27</x:v>
      </x:c>
      <x:c r="G2" s="53" t="str">
        <x:v>阻塞开发</x:v>
      </x:c>
      <x:c r="H2" s="54" t="n">
        <x:f>COUNTIF(G5:G55,"是")</x:f>
        <x:v>51</x:v>
      </x:c>
    </x:row>
    <x:row r="4" ht="34" customHeight="1">
      <x:c r="A4" s="24" t="str">
        <x:v>问题编号</x:v>
      </x:c>
      <x:c r="B4" s="24" t="str">
        <x:v>关联需求</x:v>
      </x:c>
      <x:c r="C4" s="24" t="str">
        <x:v>模块</x:v>
      </x:c>
      <x:c r="D4" s="24" t="str">
        <x:v>待确认问题</x:v>
      </x:c>
      <x:c r="E4" s="24" t="str">
        <x:v>为什么必须确认</x:v>
      </x:c>
      <x:c r="F4" s="24" t="str">
        <x:v>建议确认人</x:v>
      </x:c>
      <x:c r="G4" s="24" t="str">
        <x:v>是否阻塞开发</x:v>
      </x:c>
      <x:c r="H4" s="24" t="str">
        <x:v>状态</x:v>
      </x:c>
    </x:row>
    <x:row r="5" ht="52" customHeight="1">
      <x:c r="A5" s="44" t="str">
        <x:v>Q-AI-001</x:v>
      </x:c>
      <x:c r="B5" s="45" t="str">
        <x:v>AI-001</x:v>
      </x:c>
      <x:c r="C5" s="45" t="str">
        <x:v>AI智能助手</x:v>
      </x:c>
      <x:c r="D5" s="39" t="str">
        <x:v>“PPT可编辑”针对AI助手、上会材料页，还是两者？</x:v>
      </x:c>
      <x:c r="E5" s="39" t="str">
        <x:v>决定生成入口和技术链路</x:v>
      </x:c>
      <x:c r="F5" s="39" t="str">
        <x:v>产品/业务</x:v>
      </x:c>
      <x:c r="G5" s="50" t="str">
        <x:v>是</x:v>
      </x:c>
      <x:c r="H5" s="57" t="str">
        <x:v>待确认</x:v>
      </x:c>
    </x:row>
    <x:row r="6" ht="52" customHeight="1">
      <x:c r="A6" s="46" t="str">
        <x:v>Q-AI-002</x:v>
      </x:c>
      <x:c r="B6" s="47" t="str">
        <x:v>AI-001</x:v>
      </x:c>
      <x:c r="C6" s="47" t="str">
        <x:v>AI智能助手</x:v>
      </x:c>
      <x:c r="D6" s="42" t="str">
        <x:v>哪些元素必须可编辑：文字、表格、图表、形状、图片、背景、备注？</x:v>
      </x:c>
      <x:c r="E6" s="42" t="str">
        <x:v>决定可编辑边界和验收</x:v>
      </x:c>
      <x:c r="F6" s="42" t="str">
        <x:v>产品/业务</x:v>
      </x:c>
      <x:c r="G6" s="51" t="str">
        <x:v>是</x:v>
      </x:c>
      <x:c r="H6" s="58" t="str">
        <x:v>待确认</x:v>
      </x:c>
    </x:row>
    <x:row r="7" ht="52" customHeight="1">
      <x:c r="A7" s="46" t="str">
        <x:v>Q-AI-003</x:v>
      </x:c>
      <x:c r="B7" s="47" t="str">
        <x:v>AI-001</x:v>
      </x:c>
      <x:c r="C7" s="47" t="str">
        <x:v>AI智能助手</x:v>
      </x:c>
      <x:c r="D7" s="42" t="str">
        <x:v>可编辑性、视觉保真、生成耗时和成本的优先级及验收阈值是什么？</x:v>
      </x:c>
      <x:c r="E7" s="42" t="str">
        <x:v>决定方案和质量成本</x:v>
      </x:c>
      <x:c r="F7" s="42" t="str">
        <x:v>产品/业务/技术</x:v>
      </x:c>
      <x:c r="G7" s="51" t="str">
        <x:v>是</x:v>
      </x:c>
      <x:c r="H7" s="58" t="str">
        <x:v>待确认</x:v>
      </x:c>
    </x:row>
    <x:row r="8" ht="52" customHeight="1">
      <x:c r="A8" s="46" t="str">
        <x:v>Q-AI-004</x:v>
      </x:c>
      <x:c r="B8" s="47" t="str">
        <x:v>AI-001, AI-009</x:v>
      </x:c>
      <x:c r="C8" s="47" t="str">
        <x:v>AI智能助手</x:v>
      </x:c>
      <x:c r="D8" s="42" t="str">
        <x:v>是否同时保留图片版和可编辑版；是否处理历史PPT；Office/WPS、字体、页数和命名归档要求是什么？</x:v>
      </x:c>
      <x:c r="E8" s="42" t="str">
        <x:v>决定交付与兼容范围</x:v>
      </x:c>
      <x:c r="F8" s="42" t="str">
        <x:v>产品/业务</x:v>
      </x:c>
      <x:c r="G8" s="51" t="str">
        <x:v>是</x:v>
      </x:c>
      <x:c r="H8" s="58" t="str">
        <x:v>待确认</x:v>
      </x:c>
    </x:row>
    <x:row r="9" ht="52" customHeight="1">
      <x:c r="A9" s="46" t="str">
        <x:v>Q-AI-005</x:v>
      </x:c>
      <x:c r="B9" s="47" t="str">
        <x:v>AI-002</x:v>
      </x:c>
      <x:c r="C9" s="47" t="str">
        <x:v>AI智能助手</x:v>
      </x:c>
      <x:c r="D9" s="42" t="str">
        <x:v>Enter应发送还是换行；是否改用Ctrl/Cmd+Enter发送？</x:v>
      </x:c>
      <x:c r="E9" s="42" t="str">
        <x:v>决定键盘规则</x:v>
      </x:c>
      <x:c r="F9" s="42" t="str">
        <x:v>产品</x:v>
      </x:c>
      <x:c r="G9" s="51" t="str">
        <x:v>是</x:v>
      </x:c>
      <x:c r="H9" s="58" t="str">
        <x:v>待确认</x:v>
      </x:c>
    </x:row>
    <x:row r="10" ht="52" customHeight="1">
      <x:c r="A10" s="46" t="str">
        <x:v>Q-AI-006</x:v>
      </x:c>
      <x:c r="B10" s="47" t="str">
        <x:v>AI-002</x:v>
      </x:c>
      <x:c r="C10" s="47" t="str">
        <x:v>AI智能助手</x:v>
      </x:c>
      <x:c r="D10" s="42" t="str">
        <x:v>意外发送的浏览器、系统、输入法、复现步骤、会话和录屏是什么？</x:v>
      </x:c>
      <x:c r="E10" s="42" t="str">
        <x:v>定位真实根因</x:v>
      </x:c>
      <x:c r="F10" s="42" t="str">
        <x:v>需求提出人/测试</x:v>
      </x:c>
      <x:c r="G10" s="51" t="str">
        <x:v>是</x:v>
      </x:c>
      <x:c r="H10" s="58" t="str">
        <x:v>待确认</x:v>
      </x:c>
    </x:row>
    <x:row r="11" ht="52" customHeight="1">
      <x:c r="A11" s="46" t="str">
        <x:v>Q-AI-007</x:v>
      </x:c>
      <x:c r="B11" s="47" t="str">
        <x:v>AI-002</x:v>
      </x:c>
      <x:c r="C11" s="47" t="str">
        <x:v>AI智能助手</x:v>
      </x:c>
      <x:c r="D11" s="42" t="str">
        <x:v>生成中是否禁止再次提交、允许排队，或弹出确认；快捷入口点击是否立即发送？</x:v>
      </x:c>
      <x:c r="E11" s="42" t="str">
        <x:v>决定并发和误触行为</x:v>
      </x:c>
      <x:c r="F11" s="42" t="str">
        <x:v>产品</x:v>
      </x:c>
      <x:c r="G11" s="51" t="str">
        <x:v>是</x:v>
      </x:c>
      <x:c r="H11" s="58" t="str">
        <x:v>待确认</x:v>
      </x:c>
    </x:row>
    <x:row r="12" ht="52" customHeight="1">
      <x:c r="A12" s="46" t="str">
        <x:v>Q-AI-008</x:v>
      </x:c>
      <x:c r="B12" s="47" t="str">
        <x:v>AI-003</x:v>
      </x:c>
      <x:c r="C12" s="47" t="str">
        <x:v>AI智能助手</x:v>
      </x:c>
      <x:c r="D12" s="42" t="str">
        <x:v>“智灵动力”究竟是项目、Agent还是LLM模型，选择控件位于哪里？</x:v>
      </x:c>
      <x:c r="E12" s="42" t="str">
        <x:v>三种实现完全不同</x:v>
      </x:c>
      <x:c r="F12" s="42" t="str">
        <x:v>产品/需求提出人</x:v>
      </x:c>
      <x:c r="G12" s="51" t="str">
        <x:v>是</x:v>
      </x:c>
      <x:c r="H12" s="58" t="str">
        <x:v>待确认</x:v>
      </x:c>
    </x:row>
    <x:row r="13" ht="52" customHeight="1">
      <x:c r="A13" s="46" t="str">
        <x:v>Q-AI-009</x:v>
      </x:c>
      <x:c r="B13" s="47" t="str">
        <x:v>AI-003</x:v>
      </x:c>
      <x:c r="C13" s="47" t="str">
        <x:v>AI智能助手</x:v>
      </x:c>
      <x:c r="D13" s="42" t="str">
        <x:v>需要“默认可改”还是“强制锁定”，按用户、设备还是机构生效？</x:v>
      </x:c>
      <x:c r="E13" s="42" t="str">
        <x:v>决定权限和持久化范围</x:v>
      </x:c>
      <x:c r="F13" s="42" t="str">
        <x:v>产品/管理员</x:v>
      </x:c>
      <x:c r="G13" s="51" t="str">
        <x:v>是</x:v>
      </x:c>
      <x:c r="H13" s="58" t="str">
        <x:v>待确认</x:v>
      </x:c>
    </x:row>
    <x:row r="14" ht="52" customHeight="1">
      <x:c r="A14" s="46" t="str">
        <x:v>Q-AI-010</x:v>
      </x:c>
      <x:c r="B14" s="47" t="str">
        <x:v>AI-003</x:v>
      </x:c>
      <x:c r="C14" s="47" t="str">
        <x:v>AI智能助手</x:v>
      </x:c>
      <x:c r="D14" s="42" t="str">
        <x:v>URL、历史会话、上次选择和固定默认的优先级是什么，跨设备是否同步？</x:v>
      </x:c>
      <x:c r="E14" s="42" t="str">
        <x:v>决定恢复规则</x:v>
      </x:c>
      <x:c r="F14" s="42" t="str">
        <x:v>产品</x:v>
      </x:c>
      <x:c r="G14" s="51" t="str">
        <x:v>是</x:v>
      </x:c>
      <x:c r="H14" s="58" t="str">
        <x:v>待确认</x:v>
      </x:c>
    </x:row>
    <x:row r="15" ht="52" customHeight="1">
      <x:c r="A15" s="46" t="str">
        <x:v>Q-AI-011</x:v>
      </x:c>
      <x:c r="B15" s="47" t="str">
        <x:v>AI-004</x:v>
      </x:c>
      <x:c r="C15" s="47" t="str">
        <x:v>AI智能助手</x:v>
      </x:c>
      <x:c r="D15" s="42" t="str">
        <x:v>白屏对应普通问答、PPT、大文件还是所有任务；发生在流式结束、标题生成还是文件刷新后？</x:v>
      </x:c>
      <x:c r="E15" s="42" t="str">
        <x:v>缩小故障范围</x:v>
      </x:c>
      <x:c r="F15" s="42" t="str">
        <x:v>需求提出人/测试</x:v>
      </x:c>
      <x:c r="G15" s="51" t="str">
        <x:v>是</x:v>
      </x:c>
      <x:c r="H15" s="58" t="str">
        <x:v>待确认</x:v>
      </x:c>
    </x:row>
    <x:row r="16" ht="52" customHeight="1">
      <x:c r="A16" s="46" t="str">
        <x:v>Q-AI-012</x:v>
      </x:c>
      <x:c r="B16" s="47" t="str">
        <x:v>AI-004</x:v>
      </x:c>
      <x:c r="C16" s="47" t="str">
        <x:v>AI智能助手</x:v>
      </x:c>
      <x:c r="D16" s="42" t="str">
        <x:v>请提供发生时间、会话ID、浏览器/系统、Console、Network/HAR、回答规模和刷新后状态。</x:v>
      </x:c>
      <x:c r="E16" s="42" t="str">
        <x:v>取得可验证证据</x:v>
      </x:c>
      <x:c r="F16" s="42" t="str">
        <x:v>测试/研发</x:v>
      </x:c>
      <x:c r="G16" s="51" t="str">
        <x:v>是</x:v>
      </x:c>
      <x:c r="H16" s="58" t="str">
        <x:v>待确认</x:v>
      </x:c>
    </x:row>
    <x:row r="17" ht="52" customHeight="1">
      <x:c r="A17" s="46" t="str">
        <x:v>Q-AI-013</x:v>
      </x:c>
      <x:c r="B17" s="47" t="str">
        <x:v>AI-004</x:v>
      </x:c>
      <x:c r="C17" s="47" t="str">
        <x:v>AI智能助手</x:v>
      </x:c>
      <x:c r="D17" s="42" t="str">
        <x:v>白屏时的期望降级是错误提示、局部重试、自动恢复还是保持结果下载？</x:v>
      </x:c>
      <x:c r="E17" s="42" t="str">
        <x:v>决定异常体验</x:v>
      </x:c>
      <x:c r="F17" s="42" t="str">
        <x:v>产品</x:v>
      </x:c>
      <x:c r="G17" s="51" t="str">
        <x:v>是</x:v>
      </x:c>
      <x:c r="H17" s="58" t="str">
        <x:v>待确认</x:v>
      </x:c>
    </x:row>
    <x:row r="18" ht="52" customHeight="1">
      <x:c r="A18" s="46" t="str">
        <x:v>Q-AI-014</x:v>
      </x:c>
      <x:c r="B18" s="47" t="str">
        <x:v>AI-005</x:v>
      </x:c>
      <x:c r="C18" s="47" t="str">
        <x:v>AI智能助手</x:v>
      </x:c>
      <x:c r="D18" s="42" t="str">
        <x:v>右侧现有项目摘要、文件树、刷新、预览、下载、关闭中，明确保留和删除哪些？</x:v>
      </x:c>
      <x:c r="E18" s="42" t="str">
        <x:v>原始描述无功能清单</x:v>
      </x:c>
      <x:c r="F18" s="42" t="str">
        <x:v>产品/用户</x:v>
      </x:c>
      <x:c r="G18" s="51" t="str">
        <x:v>是</x:v>
      </x:c>
      <x:c r="H18" s="58" t="str">
        <x:v>待确认</x:v>
      </x:c>
    </x:row>
    <x:row r="19" ht="52" customHeight="1">
      <x:c r="A19" s="46" t="str">
        <x:v>Q-AI-015</x:v>
      </x:c>
      <x:c r="B19" s="47" t="str">
        <x:v>AI-005</x:v>
      </x:c>
      <x:c r="C19" s="47" t="str">
        <x:v>AI智能助手</x:v>
      </x:c>
      <x:c r="D19" s="42" t="str">
        <x:v>文件范围按当前会话、项目、用户还是全部工作区；上传源文件和中间产物是否隐藏？</x:v>
      </x:c>
      <x:c r="E19" s="42" t="str">
        <x:v>决定安全隔离和过滤</x:v>
      </x:c>
      <x:c r="F19" s="42" t="str">
        <x:v>产品/安全</x:v>
      </x:c>
      <x:c r="G19" s="51" t="str">
        <x:v>是</x:v>
      </x:c>
      <x:c r="H19" s="58" t="str">
        <x:v>待确认</x:v>
      </x:c>
    </x:row>
    <x:row r="20" ht="52" customHeight="1">
      <x:c r="A20" s="46" t="str">
        <x:v>Q-AI-016</x:v>
      </x:c>
      <x:c r="B20" s="47" t="str">
        <x:v>AI-005</x:v>
      </x:c>
      <x:c r="C20" s="47" t="str">
        <x:v>AI智能助手</x:v>
      </x:c>
      <x:c r="D20" s="42" t="str">
        <x:v>是否新增Office在线预览、删除、重命名、分享、归档或小屏展示？</x:v>
      </x:c>
      <x:c r="E20" s="42" t="str">
        <x:v>决定接口和范围</x:v>
      </x:c>
      <x:c r="F20" s="42" t="str">
        <x:v>产品</x:v>
      </x:c>
      <x:c r="G20" s="51" t="str">
        <x:v>是</x:v>
      </x:c>
      <x:c r="H20" s="58" t="str">
        <x:v>待确认</x:v>
      </x:c>
    </x:row>
    <x:row r="21" ht="52" customHeight="1">
      <x:c r="A21" s="46" t="str">
        <x:v>Q-AI-017</x:v>
      </x:c>
      <x:c r="B21" s="47" t="str">
        <x:v>AI-006</x:v>
      </x:c>
      <x:c r="C21" s="47" t="str">
        <x:v>AI智能助手</x:v>
      </x:c>
      <x:c r="D21" s="42" t="str">
        <x:v>“聊天框顶部”指页面顶栏、消息区顶部还是输入框上方；替换还是保留现有4个建议按钮？</x:v>
      </x:c>
      <x:c r="E21" s="42" t="str">
        <x:v>决定信息架构</x:v>
      </x:c>
      <x:c r="F21" s="42" t="str">
        <x:v>产品/设计</x:v>
      </x:c>
      <x:c r="G21" s="51" t="str">
        <x:v>是</x:v>
      </x:c>
      <x:c r="H21" s="58" t="str">
        <x:v>待确认</x:v>
      </x:c>
    </x:row>
    <x:row r="22" ht="52" customHeight="1">
      <x:c r="A22" s="46" t="str">
        <x:v>Q-AI-018</x:v>
      </x:c>
      <x:c r="B22" s="47" t="str">
        <x:v>AI-006, AI-009</x:v>
      </x:c>
      <x:c r="C22" s="47" t="str">
        <x:v>AI智能助手</x:v>
      </x:c>
      <x:c r="D22" s="42" t="str">
        <x:v>点击入口是立即发Prompt、填入输入框、打开表单、跳转材料页，还是直接生成文件？</x:v>
      </x:c>
      <x:c r="E22" s="42" t="str">
        <x:v>决定入口交互和接口</x:v>
      </x:c>
      <x:c r="F22" s="42" t="str">
        <x:v>产品</x:v>
      </x:c>
      <x:c r="G22" s="51" t="str">
        <x:v>是</x:v>
      </x:c>
      <x:c r="H22" s="58" t="str">
        <x:v>待确认</x:v>
      </x:c>
    </x:row>
    <x:row r="23" ht="52" customHeight="1">
      <x:c r="A23" s="46" t="str">
        <x:v>Q-AI-019</x:v>
      </x:c>
      <x:c r="B23" s="47" t="str">
        <x:v>AI-006</x:v>
      </x:c>
      <x:c r="C23" s="47" t="str">
        <x:v>AI智能助手</x:v>
      </x:c>
      <x:c r="D23" s="42" t="str">
        <x:v>五个入口是否都要求先选项目；是否有角色权限、版本、审核和归档要求？</x:v>
      </x:c>
      <x:c r="E23" s="42" t="str">
        <x:v>决定上下文与治理</x:v>
      </x:c>
      <x:c r="F23" s="42" t="str">
        <x:v>产品/业务</x:v>
      </x:c>
      <x:c r="G23" s="51" t="str">
        <x:v>是</x:v>
      </x:c>
      <x:c r="H23" s="58" t="str">
        <x:v>待确认</x:v>
      </x:c>
    </x:row>
    <x:row r="24" ht="52" customHeight="1">
      <x:c r="A24" s="46" t="str">
        <x:v>Q-AI-020</x:v>
      </x:c>
      <x:c r="B24" s="47" t="str">
        <x:v>AI-007</x:v>
      </x:c>
      <x:c r="C24" s="47" t="str">
        <x:v>AI智能助手</x:v>
      </x:c>
      <x:c r="D24" s="42" t="str">
        <x:v>“合规性说明”是固定免责声明、项目合规分析还是正式报告；模板、依据、审核人和输出格式是什么？</x:v>
      </x:c>
      <x:c r="E24" s="42" t="str">
        <x:v>避免越权生成正式合规结论</x:v>
      </x:c>
      <x:c r="F24" s="42" t="str">
        <x:v>产品/法务</x:v>
      </x:c>
      <x:c r="G24" s="51" t="str">
        <x:v>是</x:v>
      </x:c>
      <x:c r="H24" s="58" t="str">
        <x:v>待确认</x:v>
      </x:c>
    </x:row>
    <x:row r="25" ht="52" customHeight="1">
      <x:c r="A25" s="46" t="str">
        <x:v>Q-AI-021</x:v>
      </x:c>
      <x:c r="B25" s="47" t="str">
        <x:v>AI-008</x:v>
      </x:c>
      <x:c r="C25" s="47" t="str">
        <x:v>AI智能助手</x:v>
      </x:c>
      <x:c r="D25" s="42" t="str">
        <x:v>“投资提案”与“投资建议书”的业务差异、模板、输入字段和输出格式是什么？</x:v>
      </x:c>
      <x:c r="E25" s="42" t="str">
        <x:v>决定业务流程和产物</x:v>
      </x:c>
      <x:c r="F25" s="42" t="str">
        <x:v>产品/投资业务</x:v>
      </x:c>
      <x:c r="G25" s="51" t="str">
        <x:v>是</x:v>
      </x:c>
      <x:c r="H25" s="58" t="str">
        <x:v>待确认</x:v>
      </x:c>
    </x:row>
    <x:row r="26" ht="52" customHeight="1">
      <x:c r="A26" s="46" t="str">
        <x:v>Q-AI-022</x:v>
      </x:c>
      <x:c r="B26" s="47" t="str">
        <x:v>AI-009</x:v>
      </x:c>
      <x:c r="C26" s="47" t="str">
        <x:v>AI智能助手</x:v>
      </x:c>
      <x:c r="D26" s="42" t="str">
        <x:v>投资建议书使用现有公司模板还是新模板；是否选择章节、数据截止日和语言？</x:v>
      </x:c>
      <x:c r="E26" s="42" t="str">
        <x:v>决定模板参数</x:v>
      </x:c>
      <x:c r="F26" s="42" t="str">
        <x:v>产品/投资业务</x:v>
      </x:c>
      <x:c r="G26" s="51" t="str">
        <x:v>是</x:v>
      </x:c>
      <x:c r="H26" s="58" t="str">
        <x:v>待确认</x:v>
      </x:c>
    </x:row>
    <x:row r="27" ht="52" customHeight="1">
      <x:c r="A27" s="46" t="str">
        <x:v>Q-AI-023</x:v>
      </x:c>
      <x:c r="B27" s="47" t="str">
        <x:v>AI-010</x:v>
      </x:c>
      <x:c r="C27" s="47" t="str">
        <x:v>AI智能助手</x:v>
      </x:c>
      <x:c r="D27" s="42" t="str">
        <x:v>尽调类型、章节、证据引用、核验标识、资料截止日、输出格式和责任边界是什么？</x:v>
      </x:c>
      <x:c r="E27" s="42" t="str">
        <x:v>决定报告范围与合规边界</x:v>
      </x:c>
      <x:c r="F27" s="42" t="str">
        <x:v>产品/投资/法务</x:v>
      </x:c>
      <x:c r="G27" s="51" t="str">
        <x:v>是</x:v>
      </x:c>
      <x:c r="H27" s="58" t="str">
        <x:v>待确认</x:v>
      </x:c>
    </x:row>
    <x:row r="28" ht="52" customHeight="1">
      <x:c r="A28" s="46" t="str">
        <x:v>Q-AI-024</x:v>
      </x:c>
      <x:c r="B28" s="47" t="str">
        <x:v>AI-011</x:v>
      </x:c>
      <x:c r="C28" s="47" t="str">
        <x:v>AI智能助手</x:v>
      </x:c>
      <x:c r="D28" s="42" t="str">
        <x:v>Q&amp;A与当前普通聊天的区别：自由问答、预设问题库、专项模式还是FAQ生成？</x:v>
      </x:c>
      <x:c r="E28" s="42" t="str">
        <x:v>避免重复功能</x:v>
      </x:c>
      <x:c r="F28" s="42" t="str">
        <x:v>产品</x:v>
      </x:c>
      <x:c r="G28" s="51" t="str">
        <x:v>是</x:v>
      </x:c>
      <x:c r="H28" s="58" t="str">
        <x:v>待确认</x:v>
      </x:c>
    </x:row>
    <x:row r="29" ht="52" customHeight="1">
      <x:c r="A29" s="46" t="str">
        <x:v>Q-POOL-001</x:v>
      </x:c>
      <x:c r="B29" s="47" t="str">
        <x:v>POOL-001</x:v>
      </x:c>
      <x:c r="C29" s="47" t="str">
        <x:v>公共线索池</x:v>
      </x:c>
      <x:c r="D29" s="42" t="str">
        <x:v>“更新慢”是Radar采集、平台同步、AI评分、列表加载还是页面不刷新？</x:v>
      </x:c>
      <x:c r="E29" s="42" t="str">
        <x:v>决定优化环节</x:v>
      </x:c>
      <x:c r="F29" s="42" t="str">
        <x:v>产品/用户/测试</x:v>
      </x:c>
      <x:c r="G29" s="51" t="str">
        <x:v>是</x:v>
      </x:c>
      <x:c r="H29" s="58" t="str">
        <x:v>待确认</x:v>
      </x:c>
    </x:row>
    <x:row r="30" ht="52" customHeight="1">
      <x:c r="A30" s="46" t="str">
        <x:v>Q-POOL-002</x:v>
      </x:c>
      <x:c r="B30" s="47" t="str">
        <x:v>POOL-001</x:v>
      </x:c>
      <x:c r="C30" s="47" t="str">
        <x:v>公共线索池</x:v>
      </x:c>
      <x:c r="D30" s="42" t="str">
        <x:v>各数据源从发布到公共池可见的目标时效和优先级是什么？</x:v>
      </x:c>
      <x:c r="E30" s="42" t="str">
        <x:v>建立可验收SLA</x:v>
      </x:c>
      <x:c r="F30" s="42" t="str">
        <x:v>产品/业务</x:v>
      </x:c>
      <x:c r="G30" s="51" t="str">
        <x:v>是</x:v>
      </x:c>
      <x:c r="H30" s="58" t="str">
        <x:v>待确认</x:v>
      </x:c>
    </x:row>
    <x:row r="31" ht="52" customHeight="1">
      <x:c r="A31" s="46" t="str">
        <x:v>Q-POOL-003</x:v>
      </x:c>
      <x:c r="B31" s="47" t="str">
        <x:v>POOL-001</x:v>
      </x:c>
      <x:c r="C31" s="47" t="str">
        <x:v>公共线索池</x:v>
      </x:c>
      <x:c r="D31" s="42" t="str">
        <x:v>未评分线索是否应立即展示；若展示，使用何种状态和排序？</x:v>
      </x:c>
      <x:c r="E31" s="42" t="str">
        <x:v>决定入库到可见闭环</x:v>
      </x:c>
      <x:c r="F31" s="42" t="str">
        <x:v>产品</x:v>
      </x:c>
      <x:c r="G31" s="51" t="str">
        <x:v>是</x:v>
      </x:c>
      <x:c r="H31" s="58" t="str">
        <x:v>待确认</x:v>
      </x:c>
    </x:row>
    <x:row r="32" ht="52" customHeight="1">
      <x:c r="A32" s="46" t="str">
        <x:v>Q-POOL-004</x:v>
      </x:c>
      <x:c r="B32" s="47" t="str">
        <x:v>POOL-001</x:v>
      </x:c>
      <x:c r="C32" s="47" t="str">
        <x:v>公共线索池</x:v>
      </x:c>
      <x:c r="D32" s="42" t="str">
        <x:v>主平台应自动同步还是保留手工同步；失败是否通知管理员？</x:v>
      </x:c>
      <x:c r="E32" s="42" t="str">
        <x:v>决定调度与运维范围</x:v>
      </x:c>
      <x:c r="F32" s="42" t="str">
        <x:v>产品/运维</x:v>
      </x:c>
      <x:c r="G32" s="51" t="str">
        <x:v>是</x:v>
      </x:c>
      <x:c r="H32" s="58" t="str">
        <x:v>待确认</x:v>
      </x:c>
    </x:row>
    <x:row r="33" ht="52" customHeight="1">
      <x:c r="A33" s="46" t="str">
        <x:v>Q-POOL-005</x:v>
      </x:c>
      <x:c r="B33" s="47" t="str">
        <x:v>POOL-002</x:v>
      </x:c>
      <x:c r="C33" s="47" t="str">
        <x:v>公共线索池</x:v>
      </x:c>
      <x:c r="D33" s="42" t="str">
        <x:v>请提供“未更新”的具体公司、字段、来源和时间样例。</x:v>
      </x:c>
      <x:c r="E33" s="42" t="str">
        <x:v>验证问题及回归样例</x:v>
      </x:c>
      <x:c r="F33" s="42" t="str">
        <x:v>需求提出人/测试</x:v>
      </x:c>
      <x:c r="G33" s="51" t="str">
        <x:v>是</x:v>
      </x:c>
      <x:c r="H33" s="58" t="str">
        <x:v>待确认</x:v>
      </x:c>
    </x:row>
    <x:row r="34" ht="52" customHeight="1">
      <x:c r="A34" s="46" t="str">
        <x:v>Q-POOL-006</x:v>
      </x:c>
      <x:c r="B34" s="47" t="str">
        <x:v>POOL-002</x:v>
      </x:c>
      <x:c r="C34" s="47" t="str">
        <x:v>公共线索池</x:v>
      </x:c>
      <x:c r="D34" s="42" t="str">
        <x:v>主体唯一标识使用公司全称、统一社会信用代码、来源ID/URL还是其他键？</x:v>
      </x:c>
      <x:c r="E34" s="42" t="str">
        <x:v>决定去重与upsert</x:v>
      </x:c>
      <x:c r="F34" s="42" t="str">
        <x:v>产品/数据</x:v>
      </x:c>
      <x:c r="G34" s="51" t="str">
        <x:v>是</x:v>
      </x:c>
      <x:c r="H34" s="58" t="str">
        <x:v>待确认</x:v>
      </x:c>
    </x:row>
    <x:row r="35" ht="52" customHeight="1">
      <x:c r="A35" s="46" t="str">
        <x:v>Q-POOL-007</x:v>
      </x:c>
      <x:c r="B35" s="47" t="str">
        <x:v>POOL-002</x:v>
      </x:c>
      <x:c r="C35" s="47" t="str">
        <x:v>公共线索池</x:v>
      </x:c>
      <x:c r="D35" s="42" t="str">
        <x:v>同主体多来源如何合并；Radar、AI、人工和历史数据冲突时谁优先，人工值能否覆盖？</x:v>
      </x:c>
      <x:c r="E35" s="42" t="str">
        <x:v>避免错误覆盖</x:v>
      </x:c>
      <x:c r="F35" s="42" t="str">
        <x:v>产品/数据</x:v>
      </x:c>
      <x:c r="G35" s="51" t="str">
        <x:v>是</x:v>
      </x:c>
      <x:c r="H35" s="58" t="str">
        <x:v>待确认</x:v>
      </x:c>
    </x:row>
    <x:row r="36" ht="52" customHeight="1">
      <x:c r="A36" s="46" t="str">
        <x:v>Q-POOL-008</x:v>
      </x:c>
      <x:c r="B36" s="47" t="str">
        <x:v>POOL-002</x:v>
      </x:c>
      <x:c r="C36" s="47" t="str">
        <x:v>公共线索池</x:v>
      </x:c>
      <x:c r="D36" s="42" t="str">
        <x:v>是否保留字段历史、被过滤记录和失败记录；是否对历史数据全量回填/重评？</x:v>
      </x:c>
      <x:c r="E36" s="42" t="str">
        <x:v>决定审计与历史范围</x:v>
      </x:c>
      <x:c r="F36" s="42" t="str">
        <x:v>产品/运维</x:v>
      </x:c>
      <x:c r="G36" s="51" t="str">
        <x:v>是</x:v>
      </x:c>
      <x:c r="H36" s="58" t="str">
        <x:v>待确认</x:v>
      </x:c>
    </x:row>
    <x:row r="37" ht="52" customHeight="1">
      <x:c r="A37" s="46" t="str">
        <x:v>Q-POOL-009</x:v>
      </x:c>
      <x:c r="B37" s="47" t="str">
        <x:v>POOL-003</x:v>
      </x:c>
      <x:c r="C37" s="47" t="str">
        <x:v>公共线索池</x:v>
      </x:c>
      <x:c r="D37" s="42" t="str">
        <x:v>“首页”指系统首页/还是公共线索池/sourcing？</x:v>
      </x:c>
      <x:c r="E37" s="42" t="str">
        <x:v>决定目标页面</x:v>
      </x:c>
      <x:c r="F37" s="42" t="str">
        <x:v>产品</x:v>
      </x:c>
      <x:c r="G37" s="51" t="str">
        <x:v>是</x:v>
      </x:c>
      <x:c r="H37" s="58" t="str">
        <x:v>待确认</x:v>
      </x:c>
    </x:row>
    <x:row r="38" ht="52" customHeight="1">
      <x:c r="A38" s="46" t="str">
        <x:v>Q-POOL-010</x:v>
      </x:c>
      <x:c r="B38" s="47" t="str">
        <x:v>POOL-003</x:v>
      </x:c>
      <x:c r="C38" s="47" t="str">
        <x:v>公共线索池</x:v>
      </x:c>
      <x:c r="D38" s="42" t="str">
        <x:v>“标签形式”是顶部筛选标签、项目卡片标签还是按标签分组页面？</x:v>
      </x:c>
      <x:c r="E38" s="42" t="str">
        <x:v>决定信息架构</x:v>
      </x:c>
      <x:c r="F38" s="42" t="str">
        <x:v>产品/设计</x:v>
      </x:c>
      <x:c r="G38" s="51" t="str">
        <x:v>是</x:v>
      </x:c>
      <x:c r="H38" s="58" t="str">
        <x:v>待确认</x:v>
      </x:c>
    </x:row>
    <x:row r="39" ht="52" customHeight="1">
      <x:c r="A39" s="46" t="str">
        <x:v>Q-POOL-011</x:v>
      </x:c>
      <x:c r="B39" s="47" t="str">
        <x:v>POOL-003</x:v>
      </x:c>
      <x:c r="C39" s="47" t="str">
        <x:v>公共线索池</x:v>
      </x:c>
      <x:c r="D39" s="42" t="str">
        <x:v>标签单选/多选、是否显示数量、默认项、是否保留高级筛选和记忆选择？</x:v>
      </x:c>
      <x:c r="E39" s="42" t="str">
        <x:v>决定交互与统计</x:v>
      </x:c>
      <x:c r="F39" s="42" t="str">
        <x:v>产品</x:v>
      </x:c>
      <x:c r="G39" s="51" t="str">
        <x:v>是</x:v>
      </x:c>
      <x:c r="H39" s="58" t="str">
        <x:v>待确认</x:v>
      </x:c>
    </x:row>
    <x:row r="40" ht="52" customHeight="1">
      <x:c r="A40" s="46" t="str">
        <x:v>Q-POOL-012</x:v>
      </x:c>
      <x:c r="B40" s="47" t="str">
        <x:v>POOL-004</x:v>
      </x:c>
      <x:c r="C40" s="47" t="str">
        <x:v>公共线索池</x:v>
      </x:c>
      <x:c r="D40" s="42" t="str">
        <x:v>核心维度的准确名称、顺序和候选值是什么？</x:v>
      </x:c>
      <x:c r="E40" s="42" t="str">
        <x:v>决定数据字典</x:v>
      </x:c>
      <x:c r="F40" s="42" t="str">
        <x:v>产品/投资业务</x:v>
      </x:c>
      <x:c r="G40" s="51" t="str">
        <x:v>是</x:v>
      </x:c>
      <x:c r="H40" s="58" t="str">
        <x:v>待确认</x:v>
      </x:c>
    </x:row>
    <x:row r="41" ht="52" customHeight="1">
      <x:c r="A41" s="46" t="str">
        <x:v>Q-POOL-013</x:v>
      </x:c>
      <x:c r="B41" s="47" t="str">
        <x:v>POOL-004</x:v>
      </x:c>
      <x:c r="C41" s="47" t="str">
        <x:v>公共线索池</x:v>
      </x:c>
      <x:c r="D41" s="42" t="str">
        <x:v>维度由Radar、AI、人工还是规则生成；冲突和人工修订如何处理？</x:v>
      </x:c>
      <x:c r="E41" s="42" t="str">
        <x:v>决定来源和维护</x:v>
      </x:c>
      <x:c r="F41" s="42" t="str">
        <x:v>产品/数据</x:v>
      </x:c>
      <x:c r="G41" s="51" t="str">
        <x:v>是</x:v>
      </x:c>
      <x:c r="H41" s="58" t="str">
        <x:v>待确认</x:v>
      </x:c>
    </x:row>
    <x:row r="42" ht="52" customHeight="1">
      <x:c r="A42" s="46" t="str">
        <x:v>Q-POOL-014</x:v>
      </x:c>
      <x:c r="B42" s="47" t="str">
        <x:v>POOL-004</x:v>
      </x:c>
      <x:c r="C42" s="47" t="str">
        <x:v>公共线索池</x:v>
      </x:c>
      <x:c r="D42" s="42" t="str">
        <x:v>是否需要动态字典、颜色、排序、启停、权限、统计和历史回填？</x:v>
      </x:c>
      <x:c r="E42" s="42" t="str">
        <x:v>决定配置化范围</x:v>
      </x:c>
      <x:c r="F42" s="42" t="str">
        <x:v>产品/管理员</x:v>
      </x:c>
      <x:c r="G42" s="51" t="str">
        <x:v>是</x:v>
      </x:c>
      <x:c r="H42" s="58" t="str">
        <x:v>待确认</x:v>
      </x:c>
    </x:row>
    <x:row r="43" ht="52" customHeight="1">
      <x:c r="A43" s="46" t="str">
        <x:v>Q-POOL-015</x:v>
      </x:c>
      <x:c r="B43" s="47" t="str">
        <x:v>POOL-005</x:v>
      </x:c>
      <x:c r="C43" s="47" t="str">
        <x:v>公共线索池</x:v>
      </x:c>
      <x:c r="D43" s="42" t="str">
        <x:v>“项目标签”作用于公共线索、专属项目还是两者？</x:v>
      </x:c>
      <x:c r="E43" s="42" t="str">
        <x:v>决定数据对象</x:v>
      </x:c>
      <x:c r="F43" s="42" t="str">
        <x:v>产品</x:v>
      </x:c>
      <x:c r="G43" s="51" t="str">
        <x:v>是</x:v>
      </x:c>
      <x:c r="H43" s="58" t="str">
        <x:v>待确认</x:v>
      </x:c>
    </x:row>
    <x:row r="44" ht="52" customHeight="1">
      <x:c r="A44" s="46" t="str">
        <x:v>Q-POOL-016</x:v>
      </x:c>
      <x:c r="B44" s="47" t="str">
        <x:v>POOL-005</x:v>
      </x:c>
      <x:c r="C44" s="47" t="str">
        <x:v>公共线索池</x:v>
      </x:c>
      <x:c r="D44" s="42" t="str">
        <x:v>标签是自由创建还是字典选择，是否多选、可编辑、可筛选，谁有权限？</x:v>
      </x:c>
      <x:c r="E44" s="42" t="str">
        <x:v>决定标签模型</x:v>
      </x:c>
      <x:c r="F44" s="42" t="str">
        <x:v>产品/管理员</x:v>
      </x:c>
      <x:c r="G44" s="51" t="str">
        <x:v>是</x:v>
      </x:c>
      <x:c r="H44" s="58" t="str">
        <x:v>待确认</x:v>
      </x:c>
    </x:row>
    <x:row r="45" ht="52" customHeight="1">
      <x:c r="A45" s="46" t="str">
        <x:v>Q-POOL-017</x:v>
      </x:c>
      <x:c r="B45" s="47" t="str">
        <x:v>POOL-005</x:v>
      </x:c>
      <x:c r="C45" s="47" t="str">
        <x:v>公共线索池</x:v>
      </x:c>
      <x:c r="D45" s="42" t="str">
        <x:v>线索转项目时继承哪些标签，AI标签是否需人工确认，历史数据是否补标签？</x:v>
      </x:c>
      <x:c r="E45" s="42" t="str">
        <x:v>决定转换和迁移</x:v>
      </x:c>
      <x:c r="F45" s="42" t="str">
        <x:v>产品/业务</x:v>
      </x:c>
      <x:c r="G45" s="51" t="str">
        <x:v>是</x:v>
      </x:c>
      <x:c r="H45" s="58" t="str">
        <x:v>待确认</x:v>
      </x:c>
    </x:row>
    <x:row r="46" ht="52" customHeight="1">
      <x:c r="A46" s="46" t="str">
        <x:v>Q-POOL-018</x:v>
      </x:c>
      <x:c r="B46" s="47" t="str">
        <x:v>POOL-006</x:v>
      </x:c>
      <x:c r="C46" s="47" t="str">
        <x:v>公共线索池</x:v>
      </x:c>
      <x:c r="D46" s="42" t="str">
        <x:v>仅取消列表渠道列，还是同时取消筛选、二级来源、搜索和详情展示？</x:v>
      </x:c>
      <x:c r="E46" s="42" t="str">
        <x:v>不同范围工作量差异大</x:v>
      </x:c>
      <x:c r="F46" s="42" t="str">
        <x:v>产品</x:v>
      </x:c>
      <x:c r="G46" s="51" t="str">
        <x:v>是</x:v>
      </x:c>
      <x:c r="H46" s="58" t="str">
        <x:v>待确认</x:v>
      </x:c>
    </x:row>
    <x:row r="47" ht="52" customHeight="1">
      <x:c r="A47" s="46" t="str">
        <x:v>Q-POOL-019</x:v>
      </x:c>
      <x:c r="B47" s="47" t="str">
        <x:v>POOL-006</x:v>
      </x:c>
      <x:c r="C47" s="47" t="str">
        <x:v>公共线索池</x:v>
      </x:c>
      <x:c r="D47" s="42" t="str">
        <x:v>底层是否继续保存渠道/来源用于追溯、同步和质量分析；取消后空间展示什么？</x:v>
      </x:c>
      <x:c r="E47" s="42" t="str">
        <x:v>保护来源追溯</x:v>
      </x:c>
      <x:c r="F47" s="42" t="str">
        <x:v>产品/合规/数据</x:v>
      </x:c>
      <x:c r="G47" s="51" t="str">
        <x:v>是</x:v>
      </x:c>
      <x:c r="H47" s="58" t="str">
        <x:v>待确认</x:v>
      </x:c>
    </x:row>
    <x:row r="48" ht="52" customHeight="1">
      <x:c r="A48" s="46" t="str">
        <x:v>Q-POOL-020</x:v>
      </x:c>
      <x:c r="B48" s="47" t="str">
        <x:v>POOL-007</x:v>
      </x:c>
      <x:c r="C48" s="47" t="str">
        <x:v>公共线索池</x:v>
      </x:c>
      <x:c r="D48" s="42" t="str">
        <x:v>展示最新、当前轮投前、投后还是目标估值；多轮融资取哪一轮？</x:v>
      </x:c>
      <x:c r="E48" s="42" t="str">
        <x:v>决定估值业务口径</x:v>
      </x:c>
      <x:c r="F48" s="42" t="str">
        <x:v>产品/投资业务</x:v>
      </x:c>
      <x:c r="G48" s="51" t="str">
        <x:v>是</x:v>
      </x:c>
      <x:c r="H48" s="58" t="str">
        <x:v>待确认</x:v>
      </x:c>
    </x:row>
    <x:row r="49" ht="52" customHeight="1">
      <x:c r="A49" s="46" t="str">
        <x:v>Q-POOL-021</x:v>
      </x:c>
      <x:c r="B49" s="47" t="str">
        <x:v>POOL-007</x:v>
      </x:c>
      <x:c r="C49" s="47" t="str">
        <x:v>公共线索池</x:v>
      </x:c>
      <x:c r="D49" s="42" t="str">
        <x:v>多来源冲突优先级、币种、单位、日期，以及未披露/待核验/无数据如何显示？</x:v>
      </x:c>
      <x:c r="E49" s="42" t="str">
        <x:v>避免误导投资判断</x:v>
      </x:c>
      <x:c r="F49" s="42" t="str">
        <x:v>产品/数据</x:v>
      </x:c>
      <x:c r="G49" s="51" t="str">
        <x:v>是</x:v>
      </x:c>
      <x:c r="H49" s="58" t="str">
        <x:v>待确认</x:v>
      </x:c>
    </x:row>
    <x:row r="50" ht="52" customHeight="1">
      <x:c r="A50" s="46" t="str">
        <x:v>Q-POOL-022</x:v>
      </x:c>
      <x:c r="B50" s="47" t="str">
        <x:v>POOL-007</x:v>
      </x:c>
      <x:c r="C50" s="47" t="str">
        <x:v>公共线索池</x:v>
      </x:c>
      <x:c r="D50" s="42" t="str">
        <x:v>是否需要估值筛选/排序、独立字段、历史回填、来源链接及转项目同步？</x:v>
      </x:c>
      <x:c r="E50" s="42" t="str">
        <x:v>决定存储与查询范围</x:v>
      </x:c>
      <x:c r="F50" s="42" t="str">
        <x:v>产品/数据</x:v>
      </x:c>
      <x:c r="G50" s="51" t="str">
        <x:v>是</x:v>
      </x:c>
      <x:c r="H50" s="58" t="str">
        <x:v>待确认</x:v>
      </x:c>
    </x:row>
    <x:row r="51" ht="52" customHeight="1">
      <x:c r="A51" s="46" t="str">
        <x:v>Q-POOL-023</x:v>
      </x:c>
      <x:c r="B51" s="47" t="str">
        <x:v>POOL-008</x:v>
      </x:c>
      <x:c r="C51" s="47" t="str">
        <x:v>公共线索池</x:v>
      </x:c>
      <x:c r="D51" s="42" t="str">
        <x:v>是否有目标原型/参考页；目标分辨率、行高、每页条数和横向滚动要求是什么？</x:v>
      </x:c>
      <x:c r="E51" s="42" t="str">
        <x:v>决定布局验收</x:v>
      </x:c>
      <x:c r="F51" s="42" t="str">
        <x:v>产品/设计</x:v>
      </x:c>
      <x:c r="G51" s="51" t="str">
        <x:v>是</x:v>
      </x:c>
      <x:c r="H51" s="58" t="str">
        <x:v>待确认</x:v>
      </x:c>
    </x:row>
    <x:row r="52" ht="52" customHeight="1">
      <x:c r="A52" s="46" t="str">
        <x:v>Q-POOL-024</x:v>
      </x:c>
      <x:c r="B52" s="47" t="str">
        <x:v>POOL-008, POOL-010</x:v>
      </x:c>
      <x:c r="C52" s="47" t="str">
        <x:v>公共线索池</x:v>
      </x:c>
      <x:c r="D52" s="42" t="str">
        <x:v>表格、卡片还是混合布局；各列和核心信息的优先级是什么？</x:v>
      </x:c>
      <x:c r="E52" s="42" t="str">
        <x:v>决定信息层级</x:v>
      </x:c>
      <x:c r="F52" s="42" t="str">
        <x:v>产品/设计</x:v>
      </x:c>
      <x:c r="G52" s="51" t="str">
        <x:v>是</x:v>
      </x:c>
      <x:c r="H52" s="58" t="str">
        <x:v>待确认</x:v>
      </x:c>
    </x:row>
    <x:row r="53" ht="52" customHeight="1">
      <x:c r="A53" s="46" t="str">
        <x:v>Q-POOL-025</x:v>
      </x:c>
      <x:c r="B53" s="47" t="str">
        <x:v>POOL-009</x:v>
      </x:c>
      <x:c r="C53" s="47" t="str">
        <x:v>公共线索池</x:v>
      </x:c>
      <x:c r="D53" s="42" t="str">
        <x:v>“缩短名称”是CSS截断、去除公司后缀还是新增正式简称？</x:v>
      </x:c>
      <x:c r="E53" s="42" t="str">
        <x:v>三种方案影响不同</x:v>
      </x:c>
      <x:c r="F53" s="42" t="str">
        <x:v>产品/数据</x:v>
      </x:c>
      <x:c r="G53" s="51" t="str">
        <x:v>是</x:v>
      </x:c>
      <x:c r="H53" s="58" t="str">
        <x:v>待确认</x:v>
      </x:c>
    </x:row>
    <x:row r="54" ht="52" customHeight="1">
      <x:c r="A54" s="46" t="str">
        <x:v>Q-POOL-026</x:v>
      </x:c>
      <x:c r="B54" s="47" t="str">
        <x:v>POOL-009</x:v>
      </x:c>
      <x:c r="C54" s="47" t="str">
        <x:v>公共线索池</x:v>
      </x:c>
      <x:c r="D54" s="42" t="str">
        <x:v>最多显示多少字/几行，完整法定名称通过悬浮、点击还是详情查看？</x:v>
      </x:c>
      <x:c r="E54" s="42" t="str">
        <x:v>决定显示验收</x:v>
      </x:c>
      <x:c r="F54" s="42" t="str">
        <x:v>产品/设计</x:v>
      </x:c>
      <x:c r="G54" s="51" t="str">
        <x:v>是</x:v>
      </x:c>
      <x:c r="H54" s="58" t="str">
        <x:v>待确认</x:v>
      </x:c>
    </x:row>
    <x:row r="55" ht="52" customHeight="1">
      <x:c r="A55" s="46" t="str">
        <x:v>Q-POOL-027</x:v>
      </x:c>
      <x:c r="B55" s="47" t="str">
        <x:v>POOL-010</x:v>
      </x:c>
      <x:c r="C55" s="47" t="str">
        <x:v>公共线索池</x:v>
      </x:c>
      <x:c r="D55" s="42" t="str">
        <x:v>行业、标签、估值、评分、核验状态、更新时间、来源等哪些是核心信息，优先级如何？</x:v>
      </x:c>
      <x:c r="E55" s="42" t="str">
        <x:v>决定列表字段</x:v>
      </x:c>
      <x:c r="F55" s="42" t="str">
        <x:v>产品/投资业务</x:v>
      </x:c>
      <x:c r="G55" s="51" t="str">
        <x:v>是</x:v>
      </x:c>
      <x:c r="H55" s="58" t="str">
        <x:v>待确认</x:v>
      </x:c>
    </x:row>
  </x:sheetData>
  <x:mergeCells>
    <x:mergeCell ref="A1:H1"/>
  </x:mergeCells>
  <x:conditionalFormatting sqref="G5:G55">
    <x:cfRule type="expression" dxfId="4" priority="1">
      <x:formula>$G5="是"</x:formula>
    </x:cfRule>
  </x:conditionalFormatting>
  <x:conditionalFormatting sqref="H5:H55">
    <x:cfRule type="expression" dxfId="5" priority="2">
      <x:formula>$H5="待确认"</x:formula>
    </x:cfRule>
  </x:conditionalFormatting>
  <x:dataValidations count="2">
    <x:dataValidation type="list" sqref="G5:G55">
      <x:formula1>"是,否"</x:formula1>
    </x:dataValidation>
    <x:dataValidation type="list" sqref="H5:H55">
      <x:formula1>"待确认,已确认,不再处理"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327bbcb87a4403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0" hidden="0" customWidth="1"/>
    <x:col min="3" max="3" width="65" hidden="0" customWidth="1"/>
    <x:col min="4" max="4" width="48" hidden="0" customWidth="1"/>
  </x:cols>
  <x:sheetData>
    <x:row r="1" ht="34" customHeight="1">
      <x:c r="A1" s="4" t="str">
        <x:v>评估口径与代码证据</x:v>
      </x:c>
      <x:c r="B1" s="4" t="str">
        <x:v>评估口径与代码证据</x:v>
      </x:c>
      <x:c r="C1" s="4" t="str">
        <x:v>评估口径与代码证据</x:v>
      </x:c>
      <x:c r="D1" s="4" t="str">
        <x:v>评估口径与代码证据</x:v>
      </x:c>
    </x:row>
    <x:row r="3" ht="34" customHeight="1">
      <x:c r="A3" s="24" t="str">
        <x:v>分类</x:v>
      </x:c>
      <x:c r="B3" s="24" t="str">
        <x:v>条目</x:v>
      </x:c>
      <x:c r="C3" s="24" t="str">
        <x:v>定义/结论</x:v>
      </x:c>
      <x:c r="D3" s="24" t="str">
        <x:v>依据</x:v>
      </x:c>
    </x:row>
    <x:row r="4" ht="46" customHeight="1">
      <x:c r="A4" s="44" t="str">
        <x:v>文档信息</x:v>
      </x:c>
      <x:c r="B4" s="45" t="str">
        <x:v>版本</x:v>
      </x:c>
      <x:c r="C4" s="39" t="str">
        <x:v>V1.0；分析日期2026-07-23；基于当前仓库只读分析</x:v>
      </x:c>
      <x:c r="D4" s="40" t="str">
        <x:v>docs/需求分析.md</x:v>
      </x:c>
    </x:row>
    <x:row r="5" ht="46" customHeight="1">
      <x:c r="A5" s="46" t="str">
        <x:v>开发判断</x:v>
      </x:c>
      <x:c r="B5" s="47" t="str">
        <x:v>可先诊断</x:v>
      </x:c>
      <x:c r="C5" s="42" t="str">
        <x:v>可开展复现、日志、性能分段或通用防护，但不能在产品问题未确认时承诺完整交付</x:v>
      </x:c>
      <x:c r="D5" s="43" t="str">
        <x:v>本工作簿“需求追踪”</x:v>
      </x:c>
    </x:row>
    <x:row r="6" ht="46" customHeight="1">
      <x:c r="A6" s="46" t="str">
        <x:v>开发判断</x:v>
      </x:c>
      <x:c r="B6" s="47" t="str">
        <x:v>否</x:v>
      </x:c>
      <x:c r="C6" s="42" t="str">
        <x:v>存在会改变实现方向的待确认项，确认前不进入完整开发</x:v>
      </x:c>
      <x:c r="D6" s="43" t="str">
        <x:v>本工作簿“待确认问题”</x:v>
      </x:c>
    </x:row>
    <x:row r="7" ht="46" customHeight="1">
      <x:c r="A7" s="46" t="str">
        <x:v>风险</x:v>
      </x:c>
      <x:c r="B7" s="47" t="str">
        <x:v>低</x:v>
      </x:c>
      <x:c r="C7" s="42" t="str">
        <x:v>单页面局部展示或交互，不改接口、数据库或外部服务</x:v>
      </x:c>
      <x:c r="D7" s="43" t="str">
        <x:v>统一评估口径</x:v>
      </x:c>
    </x:row>
    <x:row r="8" ht="46" customHeight="1">
      <x:c r="A8" s="46" t="str">
        <x:v>风险</x:v>
      </x:c>
      <x:c r="B8" s="47" t="str">
        <x:v>中</x:v>
      </x:c>
      <x:c r="C8" s="42" t="str">
        <x:v>跨组件、状态持久化、轻量接口或较明显回归范围</x:v>
      </x:c>
      <x:c r="D8" s="43" t="str">
        <x:v>统一评估口径</x:v>
      </x:c>
    </x:row>
    <x:row r="9" ht="46" customHeight="1">
      <x:c r="A9" s="46" t="str">
        <x:v>风险</x:v>
      </x:c>
      <x:c r="B9" s="47" t="str">
        <x:v>高</x:v>
      </x:c>
      <x:c r="C9" s="42" t="str">
        <x:v>数据库迁移、历史数据、外部Flue/Radar、生成链路、异步稳定性或合规内容</x:v>
      </x:c>
      <x:c r="D9" s="43" t="str">
        <x:v>统一评估口径</x:v>
      </x:c>
    </x:row>
    <x:row r="10" ht="46" customHeight="1">
      <x:c r="A10" s="46" t="str">
        <x:v>工作量</x:v>
      </x:c>
      <x:c r="B10" s="47" t="str">
        <x:v>估算边界</x:v>
      </x:c>
      <x:c r="C10" s="42" t="str">
        <x:v>含开发、自测、基本回归；不含产品等待、外部排期、正式UAT、发布观察和大规模历史清洗</x:v>
      </x:c>
      <x:c r="D10" s="43" t="str">
        <x:v>统一评估口径</x:v>
      </x:c>
    </x:row>
    <x:row r="11" ht="46" customHeight="1">
      <x:c r="A11" s="46" t="str">
        <x:v>代码事实</x:v>
      </x:c>
      <x:c r="B11" s="47" t="str">
        <x:v>Enter行为</x:v>
      </x:c>
      <x:c r="C11" s="42" t="str">
        <x:v>Enter发送、Shift+Enter换行；未检查isComposing，且键盘提交未做busy拦截</x:v>
      </x:c>
      <x:c r="D11" s="43" t="str">
        <x:v>src/pages/AIAssistantPage.tsx</x:v>
      </x:c>
    </x:row>
    <x:row r="12" ht="46" customHeight="1">
      <x:c r="A12" s="46" t="str">
        <x:v>代码事实</x:v>
      </x:c>
      <x:c r="B12" s="47" t="str">
        <x:v>智灵动力</x:v>
      </x:c>
      <x:c r="C12" s="42" t="str">
        <x:v>仓库没有AI模型选择器；现有项目选择已使用localStorage记忆，不能据此认定需求含义</x:v>
      </x:c>
      <x:c r="D12" s="43" t="str">
        <x:v>src/pages/AIAssistantPage.tsx；server/src/db/schema.ts</x:v>
      </x:c>
    </x:row>
    <x:row r="13" ht="46" customHeight="1">
      <x:c r="A13" s="46" t="str">
        <x:v>代码事实</x:v>
      </x:c>
      <x:c r="B13" s="47" t="str">
        <x:v>PPT链路</x:v>
      </x:c>
      <x:c r="C13" s="42" t="str">
        <x:v>材料页用PptxGenJS；AI助手使用外部Flue；仓库技能不代表线上Agent已接入</x:v>
      </x:c>
      <x:c r="D13" s="43" t="str">
        <x:v>server/src/services/materialService.ts；src/pages/AIAssistantPage.tsx；project-discovery/GordenSuperPPTSkills/</x:v>
      </x:c>
    </x:row>
    <x:row r="14" ht="46" customHeight="1">
      <x:c r="A14" s="46" t="str">
        <x:v>代码事实</x:v>
      </x:c>
      <x:c r="B14" s="47" t="str">
        <x:v>白屏</x:v>
      </x:c>
      <x:c r="C14" s="42" t="str">
        <x:v>未发现应用级ErrorBoundary或前端错误遥测；当前只能列排查点，不能认定根因</x:v>
      </x:c>
      <x:c r="D14" s="43" t="str">
        <x:v>src/pages/AIAssistantPage.tsx；src/App.tsx；src/main.tsx</x:v>
      </x:c>
    </x:row>
    <x:row r="15" ht="46" customHeight="1">
      <x:c r="A15" s="46" t="str">
        <x:v>代码事实</x:v>
      </x:c>
      <x:c r="B15" s="47" t="str">
        <x:v>右侧文件区</x:v>
      </x:c>
      <x:c r="C15" s="42" t="str">
        <x:v>读取AGENT_WORKSPACE文件系统；现有工作区接口不以数据库元数据表达用户/项目/会话归属</x:v>
      </x:c>
      <x:c r="D15" s="43" t="str">
        <x:v>src/pages/AIAssistantPage.tsx；server/src/routes/workspace.ts</x:v>
      </x:c>
    </x:row>
    <x:row r="16" ht="46" customHeight="1">
      <x:c r="A16" s="46" t="str">
        <x:v>代码事实</x:v>
      </x:c>
      <x:c r="B16" s="47" t="str">
        <x:v>同步限制</x:v>
      </x:c>
      <x:c r="C16" s="42" t="str">
        <x:v>前端同步limit=25；后端已有name直接跳过，只新增不更新</x:v>
      </x:c>
      <x:c r="D16" s="43" t="str">
        <x:v>src/pages/SourcingPage.tsx；server/src/routes/meta.ts</x:v>
      </x:c>
    </x:row>
    <x:row r="17" ht="46" customHeight="1">
      <x:c r="A17" s="46" t="str">
        <x:v>代码事实</x:v>
      </x:c>
      <x:c r="B17" s="47" t="str">
        <x:v>可见延迟</x:v>
      </x:c>
      <x:c r="C17" s="42" t="str">
        <x:v>未评分线索默认不展示；同步完成后的当前刷新路径不直接重拉leads</x:v>
      </x:c>
      <x:c r="D17" s="43" t="str">
        <x:v>server/src/services/aiSummaryService.ts；src/store/useAppStore.ts</x:v>
      </x:c>
    </x:row>
    <x:row r="18" ht="46" customHeight="1">
      <x:c r="A18" s="46" t="str">
        <x:v>代码事实</x:v>
      </x:c>
      <x:c r="B18" s="47" t="str">
        <x:v>标签/估值</x:v>
      </x:c>
      <x:c r="C18" s="42" t="str">
        <x:v>projects有tags/valuation；leads无通用tags和独立valuation，仅有risk_tags与嵌套JSONB</x:v>
      </x:c>
      <x:c r="D18" s="43" t="str">
        <x:v>server/src/db/schema.ts</x:v>
      </x:c>
    </x:row>
    <x:row r="19" ht="46" customHeight="1">
      <x:c r="A19" s="46" t="str">
        <x:v>代码事实</x:v>
      </x:c>
      <x:c r="B19" s="47" t="str">
        <x:v>渠道</x:v>
      </x:c>
      <x:c r="C19" s="42" t="str">
        <x:v>channel主要来自leads.radar_profile.channel，同时用于列表、筛选和来源映射</x:v>
      </x:c>
      <x:c r="D19" s="43" t="str">
        <x:v>src/pages/SourcingPage.tsx；server/src/services/aiSummaryService.ts；server/src/routes/meta.ts</x:v>
      </x:c>
    </x:row>
    <x:row r="20" ht="46" customHeight="1">
      <x:c r="A20" s="46" t="str">
        <x:v>明确不猜</x:v>
      </x:c>
      <x:c r="B20" s="47" t="str">
        <x:v>不作结论</x:v>
      </x:c>
      <x:c r="C20" s="42" t="str">
        <x:v>不认定智灵动力对象、IME根因、线上PPT技能状态、首页对象、核心维度/标签/估值/简称/文件清单或白屏根因</x:v>
      </x:c>
      <x:c r="D20" s="43" t="str">
        <x:v>docs/需求分析.md 第7～8节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a27e325f4475401c"/>
  </x:tableParts>
</x:worksheet>
</file>